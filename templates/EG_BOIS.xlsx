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xmlns:r="http://schemas.openxmlformats.org/officeDocument/2006/relationships" name="calcul des chants" sheetId="1" state="visible" r:id="rId1"/>
    <sheet xmlns:r="http://schemas.openxmlformats.org/officeDocument/2006/relationships" name="Optimisateur" sheetId="2" state="visible" r:id="rId2"/>
  </sheets>
  <definedNames>
    <definedName name="_xlnm.Print_Area" localSheetId="0">'calcul des chants'!$A$1:$R$93</definedName>
  </definedNames>
  <calcPr calcId="191028" fullCalcOnLoad="1" concurrentCalc="0"/>
</workbook>
</file>

<file path=xl/styles.xml><?xml version="1.0" encoding="utf-8"?>
<styleSheet xmlns="http://schemas.openxmlformats.org/spreadsheetml/2006/main">
  <numFmts count="1">
    <numFmt numFmtId="164" formatCode="_-* #,##0.00\ _€_-;\-* #,##0.00\ _€_-;_-* &quot;-&quot;??\ _€_-;_-@_-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4"/>
    </font>
    <font>
      <name val="Arial"/>
      <family val="2"/>
      <b val="1"/>
      <color rgb="FFFF0000"/>
      <sz val="14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theme="1"/>
      <sz val="20"/>
      <u val="single"/>
      <scheme val="minor"/>
    </font>
    <font>
      <name val="Calibri"/>
      <family val="2"/>
      <color theme="1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4">
    <xf numFmtId="0" fontId="0" fillId="0" borderId="0" pivotButton="0" quotePrefix="0" xfId="0"/>
    <xf numFmtId="0" fontId="0" fillId="0" borderId="19" applyAlignment="1" pivotButton="0" quotePrefix="0" xfId="0">
      <alignment horizontal="center" vertical="center"/>
    </xf>
    <xf numFmtId="0" fontId="3" fillId="0" borderId="11" applyAlignment="1" applyProtection="1" pivotButton="0" quotePrefix="0" xfId="0">
      <alignment horizontal="center" vertical="center"/>
      <protection locked="0" hidden="0"/>
    </xf>
    <xf numFmtId="0" fontId="3" fillId="0" borderId="27" applyAlignment="1" applyProtection="1" pivotButton="0" quotePrefix="0" xfId="0">
      <alignment horizontal="center" vertical="center"/>
      <protection locked="0" hidden="0"/>
    </xf>
    <xf numFmtId="0" fontId="3" fillId="0" borderId="28" applyAlignment="1" applyProtection="1" pivotButton="0" quotePrefix="0" xfId="0">
      <alignment horizontal="center" vertical="center"/>
      <protection locked="0" hidden="0"/>
    </xf>
    <xf numFmtId="0" fontId="3" fillId="0" borderId="34" applyAlignment="1" applyProtection="1" pivotButton="0" quotePrefix="0" xfId="0">
      <alignment horizontal="center" vertical="center"/>
      <protection locked="0" hidden="0"/>
    </xf>
    <xf numFmtId="0" fontId="3" fillId="0" borderId="35" applyAlignment="1" applyProtection="1" pivotButton="0" quotePrefix="0" xfId="0">
      <alignment horizontal="center" vertical="center"/>
      <protection locked="0" hidden="0"/>
    </xf>
    <xf numFmtId="0" fontId="3" fillId="0" borderId="17" applyAlignment="1" applyProtection="1" pivotButton="0" quotePrefix="0" xfId="0">
      <alignment horizontal="center" vertical="center"/>
      <protection locked="0" hidden="0"/>
    </xf>
    <xf numFmtId="0" fontId="3" fillId="0" borderId="32" applyAlignment="1" applyProtection="1" pivotButton="0" quotePrefix="0" xfId="0">
      <alignment horizontal="center" vertical="center"/>
      <protection locked="0" hidden="0"/>
    </xf>
    <xf numFmtId="0" fontId="3" fillId="0" borderId="27" applyAlignment="1" applyProtection="1" pivotButton="0" quotePrefix="0" xfId="0">
      <alignment horizontal="center" vertical="center" wrapText="1"/>
      <protection locked="0" hidden="0"/>
    </xf>
    <xf numFmtId="0" fontId="0" fillId="0" borderId="31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1" applyAlignment="1" pivotButton="0" quotePrefix="0" xfId="0">
      <alignment horizontal="center"/>
    </xf>
    <xf numFmtId="0" fontId="0" fillId="4" borderId="31" applyAlignment="1" pivotButton="0" quotePrefix="0" xfId="0">
      <alignment horizontal="center" vertical="center"/>
    </xf>
    <xf numFmtId="0" fontId="0" fillId="5" borderId="31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/>
    </xf>
    <xf numFmtId="0" fontId="1" fillId="0" borderId="37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3" fillId="0" borderId="39" applyAlignment="1" applyProtection="1" pivotButton="0" quotePrefix="0" xfId="0">
      <alignment horizontal="center" vertical="center"/>
      <protection locked="0" hidden="0"/>
    </xf>
    <xf numFmtId="0" fontId="4" fillId="0" borderId="0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/>
    </xf>
    <xf numFmtId="0" fontId="0" fillId="0" borderId="33" applyAlignment="1" pivotButton="0" quotePrefix="0" xfId="0">
      <alignment horizontal="center" vertical="center"/>
    </xf>
    <xf numFmtId="0" fontId="0" fillId="5" borderId="19" applyAlignment="1" pivotButton="0" quotePrefix="0" xfId="0">
      <alignment horizontal="center" vertical="center"/>
    </xf>
    <xf numFmtId="0" fontId="0" fillId="4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4" fillId="0" borderId="36" applyAlignment="1" applyProtection="1" pivotButton="0" quotePrefix="0" xfId="0">
      <alignment horizontal="center" vertical="center"/>
      <protection locked="0" hidden="0"/>
    </xf>
    <xf numFmtId="164" fontId="4" fillId="2" borderId="40" applyAlignment="1" pivotButton="0" quotePrefix="0" xfId="0">
      <alignment horizontal="center" vertical="center"/>
    </xf>
    <xf numFmtId="14" fontId="5" fillId="0" borderId="1" applyAlignment="1" pivotButton="0" quotePrefix="0" xfId="0">
      <alignment horizontal="left" vertical="center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3" fillId="0" borderId="44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3" fillId="0" borderId="4" applyAlignment="1" applyProtection="1" pivotButton="0" quotePrefix="0" xfId="0">
      <alignment horizontal="center" vertical="center"/>
      <protection locked="0" hidden="0"/>
    </xf>
    <xf numFmtId="0" fontId="3" fillId="0" borderId="3" applyAlignment="1" applyProtection="1" pivotButton="0" quotePrefix="0" xfId="0">
      <alignment horizontal="center" vertical="center"/>
      <protection locked="0" hidden="0"/>
    </xf>
    <xf numFmtId="0" fontId="3" fillId="0" borderId="5" applyAlignment="1" applyProtection="1" pivotButton="0" quotePrefix="0" xfId="0">
      <alignment horizontal="center" vertical="center"/>
      <protection locked="0" hidden="0"/>
    </xf>
    <xf numFmtId="0" fontId="3" fillId="0" borderId="8" applyAlignment="1" applyProtection="1" pivotButton="0" quotePrefix="0" xfId="0">
      <alignment horizontal="center" vertical="center"/>
      <protection locked="0" hidden="0"/>
    </xf>
    <xf numFmtId="0" fontId="3" fillId="0" borderId="9" applyAlignment="1" applyProtection="1" pivotButton="0" quotePrefix="0" xfId="0">
      <alignment horizontal="center" vertical="center"/>
      <protection locked="0" hidden="0"/>
    </xf>
    <xf numFmtId="0" fontId="5" fillId="0" borderId="2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3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4" fontId="7" fillId="3" borderId="21" applyAlignment="1" pivotButton="0" quotePrefix="0" xfId="0">
      <alignment horizontal="center" vertical="center"/>
    </xf>
    <xf numFmtId="0" fontId="7" fillId="3" borderId="22" applyAlignment="1" pivotButton="0" quotePrefix="0" xfId="0">
      <alignment horizontal="center" vertical="center"/>
    </xf>
    <xf numFmtId="0" fontId="7" fillId="3" borderId="26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37" applyAlignment="1" pivotButton="0" quotePrefix="0" xfId="0">
      <alignment horizontal="center" vertical="center"/>
    </xf>
    <xf numFmtId="0" fontId="0" fillId="0" borderId="8" pivotButton="0" quotePrefix="0" xfId="0"/>
    <xf numFmtId="0" fontId="2" fillId="0" borderId="37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3" fillId="0" borderId="33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49" pivotButton="0" quotePrefix="0" xfId="0"/>
    <xf numFmtId="0" fontId="5" fillId="0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22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6" pivotButton="0" quotePrefix="0" xfId="0"/>
    <xf numFmtId="0" fontId="0" fillId="0" borderId="25" pivotButton="0" quotePrefix="0" xfId="0"/>
    <xf numFmtId="0" fontId="0" fillId="0" borderId="24" pivotButton="0" quotePrefix="0" xfId="0"/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3" fillId="0" borderId="21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7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217714</colOff>
      <row>82</row>
      <rowOff>149677</rowOff>
    </from>
    <to>
      <col>3</col>
      <colOff>380999</colOff>
      <row>91</row>
      <rowOff>205367</rowOff>
    </to>
    <pic>
      <nvPicPr>
        <cNvPr id="4" name="Imag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17714" y="17485177"/>
          <a:ext cx="4789714" cy="226004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1000126</colOff>
      <row>1</row>
      <rowOff>142877</rowOff>
    </from>
    <to>
      <col>15</col>
      <colOff>238125</colOff>
      <row>2</row>
      <rowOff>29377</rowOff>
    </to>
    <pic>
      <nvPicPr>
        <cNvPr id="6" name="Imag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00126" y="190502"/>
          <a:ext cx="11763374" cy="2553500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 fitToPage="1"/>
  </sheetPr>
  <dimension ref="A2:AG84"/>
  <sheetViews>
    <sheetView tabSelected="1" zoomScale="70" zoomScaleNormal="70" workbookViewId="0">
      <selection activeCell="B29" sqref="B29"/>
    </sheetView>
  </sheetViews>
  <sheetFormatPr baseColWidth="8" defaultColWidth="11.43359375" defaultRowHeight="18.75"/>
  <cols>
    <col width="27.44140625" customWidth="1" style="68" min="1" max="1"/>
    <col width="22.05859375" customWidth="1" style="68" min="2" max="2"/>
    <col width="20.04296875" customWidth="1" style="68" min="3" max="3"/>
    <col width="8.47265625" customWidth="1" style="68" min="4" max="4"/>
    <col width="10.22265625" customWidth="1" style="68" min="5" max="8"/>
    <col width="16.8125" customWidth="1" style="68" min="9" max="9"/>
    <col width="8.7421875" customWidth="1" style="68" min="10" max="15"/>
    <col width="10.76171875" customWidth="1" style="68" min="16" max="16"/>
    <col width="7.6640625" customWidth="1" style="68" min="17" max="18"/>
    <col width="2.28515625" customWidth="1" style="68" min="19" max="19"/>
    <col width="11.43359375" customWidth="1" style="68" min="20" max="16384"/>
  </cols>
  <sheetData>
    <row r="1" ht="5.1" customHeight="1"/>
    <row r="2" ht="210" customHeight="1">
      <c r="B2" s="68" t="n"/>
    </row>
    <row r="3" ht="9.949999999999999" customHeight="1" thickBot="1"/>
    <row r="4" ht="30" customHeight="1" thickBot="1">
      <c r="A4" s="41" t="n"/>
      <c r="B4" s="60" t="inlineStr">
        <is>
          <t>Ref client :</t>
        </is>
      </c>
      <c r="C4" s="35" t="n"/>
      <c r="D4" s="108" t="n"/>
      <c r="E4" s="109" t="n"/>
      <c r="F4" s="35" t="inlineStr">
        <is>
          <t>Ref chantier :</t>
        </is>
      </c>
      <c r="G4" s="108" t="n"/>
      <c r="H4" s="109" t="n"/>
      <c r="I4" s="110" t="n"/>
      <c r="J4" s="108" t="n"/>
      <c r="K4" s="108" t="n"/>
      <c r="L4" s="109" t="n"/>
      <c r="M4" s="61" t="inlineStr">
        <is>
          <t>De :</t>
        </is>
      </c>
      <c r="N4" s="111" t="n"/>
      <c r="O4" s="109" t="n"/>
      <c r="P4" s="61" t="inlineStr">
        <is>
          <t>Page :</t>
        </is>
      </c>
      <c r="Q4" s="35" t="inlineStr">
        <is>
          <t>/</t>
        </is>
      </c>
      <c r="R4" s="109" t="n"/>
      <c r="Z4" s="85" t="n"/>
      <c r="AA4" s="85" t="n"/>
      <c r="AB4" s="85" t="n"/>
      <c r="AC4" s="85" t="n"/>
      <c r="AD4" s="22" t="n"/>
      <c r="AF4" s="85" t="n"/>
      <c r="AG4" s="85" t="n"/>
    </row>
    <row r="5" ht="3.75" customHeight="1">
      <c r="A5" s="85" t="n"/>
      <c r="B5" s="85" t="n"/>
      <c r="C5" s="85" t="n"/>
      <c r="D5" s="85" t="n"/>
      <c r="E5" s="85" t="n"/>
      <c r="F5" s="85" t="n"/>
      <c r="G5" s="85" t="n"/>
      <c r="H5" s="85" t="n"/>
      <c r="I5" s="85" t="n"/>
      <c r="L5" s="85" t="n"/>
      <c r="M5" s="85" t="n"/>
    </row>
    <row r="6" ht="30" customHeight="1">
      <c r="A6" s="44" t="inlineStr">
        <is>
          <t>Nature du produit souhaité:</t>
        </is>
      </c>
    </row>
    <row r="7" ht="3.75" customHeight="1" thickBot="1">
      <c r="K7" s="85" t="n"/>
      <c r="L7" s="85" t="n"/>
    </row>
    <row r="8" ht="20.1" customHeight="1">
      <c r="A8" s="112" t="inlineStr">
        <is>
          <t>Nature du panneau                     CP,Agglo,MDF,Mélaminé</t>
        </is>
      </c>
      <c r="B8" s="113" t="n"/>
      <c r="C8" s="114" t="inlineStr">
        <is>
          <t>Marque/couleur/références</t>
        </is>
      </c>
      <c r="D8" s="115" t="n"/>
      <c r="E8" s="115" t="n"/>
      <c r="F8" s="113" t="n"/>
      <c r="G8" s="116" t="inlineStr">
        <is>
          <t xml:space="preserve">Epaisseur (mm) </t>
        </is>
      </c>
      <c r="H8" s="113" t="n"/>
      <c r="I8" s="114" t="inlineStr">
        <is>
          <t>Finition</t>
        </is>
      </c>
      <c r="J8" s="113" t="n"/>
      <c r="K8" s="117" t="inlineStr">
        <is>
          <t>Sens de fil</t>
        </is>
      </c>
      <c r="L8" s="115" t="n"/>
      <c r="M8" s="115" t="n"/>
      <c r="N8" s="118" t="n"/>
      <c r="AD8" s="85" t="n"/>
    </row>
    <row r="9" ht="20.1" customHeight="1">
      <c r="A9" s="119" t="n"/>
      <c r="B9" s="120" t="n"/>
      <c r="C9" s="121" t="n"/>
      <c r="D9" s="122" t="n"/>
      <c r="E9" s="122" t="n"/>
      <c r="F9" s="120" t="n"/>
      <c r="G9" s="121" t="n"/>
      <c r="H9" s="120" t="n"/>
      <c r="I9" s="121" t="n"/>
      <c r="J9" s="120" t="n"/>
      <c r="K9" s="123" t="n"/>
      <c r="N9" s="124" t="n"/>
      <c r="AD9" s="85" t="n"/>
    </row>
    <row r="10" ht="30" customHeight="1" thickBot="1">
      <c r="A10" s="125" t="n"/>
      <c r="B10" s="126" t="n"/>
      <c r="C10" s="86" t="n"/>
      <c r="D10" s="127" t="n"/>
      <c r="E10" s="127" t="n"/>
      <c r="F10" s="126" t="n"/>
      <c r="G10" s="86" t="n"/>
      <c r="H10" s="126" t="n"/>
      <c r="I10" s="86" t="n"/>
      <c r="J10" s="126" t="n"/>
      <c r="K10" s="36" t="inlineStr">
        <is>
          <t>OUI :</t>
        </is>
      </c>
      <c r="L10" s="33" t="n"/>
      <c r="M10" s="34" t="inlineStr">
        <is>
          <t>NON :</t>
        </is>
      </c>
      <c r="N10" s="34" t="n"/>
      <c r="AD10" s="85" t="n"/>
    </row>
    <row r="11" ht="7.5" customHeight="1">
      <c r="Y11" s="85" t="n"/>
      <c r="Z11" s="85" t="n"/>
    </row>
    <row r="12" ht="8.25" customHeight="1" thickBot="1">
      <c r="C12" s="85" t="n"/>
      <c r="D12" s="85" t="n"/>
      <c r="E12" s="85" t="n"/>
      <c r="F12" s="85" t="n"/>
      <c r="G12" s="85" t="n"/>
      <c r="H12" s="85" t="n"/>
      <c r="I12" s="85" t="n"/>
    </row>
    <row r="13" ht="24" customHeight="1" thickBot="1">
      <c r="A13" s="128" t="inlineStr">
        <is>
          <t>Références</t>
        </is>
      </c>
      <c r="B13" s="129" t="inlineStr">
        <is>
          <t>Longueur ou sens du fil (cotes finies en mm)</t>
        </is>
      </c>
      <c r="C13" s="129" t="inlineStr">
        <is>
          <t>largeur ou fil travers (cotes finies en mm)</t>
        </is>
      </c>
      <c r="D13" s="35" t="inlineStr">
        <is>
          <t>Qté</t>
        </is>
      </c>
      <c r="E13" s="60" t="inlineStr">
        <is>
          <t>0,8mm</t>
        </is>
      </c>
      <c r="F13" s="35" t="inlineStr">
        <is>
          <t>x</t>
        </is>
      </c>
      <c r="G13" s="61" t="inlineStr">
        <is>
          <t>2mm:</t>
        </is>
      </c>
      <c r="H13" s="35" t="n"/>
      <c r="I13" s="129" t="inlineStr">
        <is>
          <t>Calcul du métré de chants</t>
        </is>
      </c>
      <c r="J13" s="129" t="inlineStr">
        <is>
          <t>Description I</t>
        </is>
      </c>
      <c r="K13" s="115" t="n"/>
      <c r="L13" s="118" t="n"/>
      <c r="M13" s="129" t="inlineStr">
        <is>
          <t>Description II</t>
        </is>
      </c>
      <c r="N13" s="115" t="n"/>
      <c r="O13" s="118" t="n"/>
      <c r="P13" s="129" t="inlineStr">
        <is>
          <t>Description III</t>
        </is>
      </c>
      <c r="Q13" s="115" t="n"/>
      <c r="R13" s="118" t="n"/>
    </row>
    <row r="14" ht="24" customHeight="1" thickBot="1">
      <c r="A14" s="130" t="n"/>
      <c r="B14" s="131" t="n"/>
      <c r="C14" s="131" t="n"/>
      <c r="D14" s="131" t="n"/>
      <c r="E14" s="132" t="inlineStr">
        <is>
          <t>Autre type:</t>
        </is>
      </c>
      <c r="F14" s="108" t="n"/>
      <c r="G14" s="108" t="n"/>
      <c r="H14" s="109" t="n"/>
      <c r="I14" s="131" t="n"/>
      <c r="J14" s="130" t="n"/>
      <c r="L14" s="124" t="n"/>
      <c r="M14" s="130" t="n"/>
      <c r="O14" s="124" t="n"/>
      <c r="P14" s="130" t="n"/>
      <c r="R14" s="124" t="n"/>
    </row>
    <row r="15" ht="24" customHeight="1" thickBot="1">
      <c r="A15" s="130" t="n"/>
      <c r="B15" s="131" t="n"/>
      <c r="C15" s="131" t="n"/>
      <c r="D15" s="131" t="n"/>
      <c r="E15" s="35" t="inlineStr">
        <is>
          <t>CHANTS  (voir croquis)</t>
        </is>
      </c>
      <c r="F15" s="108" t="n"/>
      <c r="G15" s="108" t="n"/>
      <c r="H15" s="109" t="n"/>
      <c r="I15" s="131" t="n"/>
      <c r="J15" s="130" t="n"/>
      <c r="L15" s="124" t="n"/>
      <c r="M15" s="130" t="n"/>
      <c r="O15" s="124" t="n"/>
      <c r="P15" s="130" t="n"/>
      <c r="R15" s="124" t="n"/>
    </row>
    <row r="16" ht="24" customHeight="1" thickBot="1">
      <c r="A16" s="133" t="n"/>
      <c r="B16" s="134" t="n"/>
      <c r="C16" s="134" t="n"/>
      <c r="D16" s="134" t="n"/>
      <c r="E16" s="28" t="inlineStr">
        <is>
          <t>A</t>
        </is>
      </c>
      <c r="F16" s="29" t="inlineStr">
        <is>
          <t>B</t>
        </is>
      </c>
      <c r="G16" s="29" t="inlineStr">
        <is>
          <t>C</t>
        </is>
      </c>
      <c r="H16" s="30" t="inlineStr">
        <is>
          <t>D</t>
        </is>
      </c>
      <c r="I16" s="134" t="n"/>
      <c r="J16" s="133" t="n"/>
      <c r="K16" s="135" t="n"/>
      <c r="L16" s="136" t="n"/>
      <c r="M16" s="133" t="n"/>
      <c r="N16" s="135" t="n"/>
      <c r="O16" s="136" t="n"/>
      <c r="P16" s="133" t="n"/>
      <c r="Q16" s="135" t="n"/>
      <c r="R16" s="136" t="n"/>
    </row>
    <row r="17" ht="21.95" customHeight="1" thickBot="1">
      <c r="A17" s="2" t="n"/>
      <c r="B17" s="9" t="n"/>
      <c r="C17" s="3" t="n"/>
      <c r="D17" s="2" t="n"/>
      <c r="E17" s="39" t="n"/>
      <c r="F17" s="39" t="n"/>
      <c r="G17" s="39" t="n"/>
      <c r="H17" s="39" t="n"/>
      <c r="I17" s="40">
        <f>(IF(E17="x",(B17+50)/1000,0)+IF(F17="x",(B17+50)/1000,0)+IF(G17="x",(C17+50)/1000,0)+IF(H17="x",(C17+50)/1000,0))*D17</f>
        <v/>
      </c>
      <c r="J17" s="137" t="n"/>
      <c r="K17" s="138" t="n"/>
      <c r="L17" s="139" t="n"/>
      <c r="M17" s="140" t="n"/>
      <c r="N17" s="141" t="n"/>
      <c r="O17" s="142" t="n"/>
      <c r="P17" s="50" t="n"/>
      <c r="Q17" s="141" t="n"/>
      <c r="R17" s="142" t="n"/>
    </row>
    <row r="18" ht="21.95" customHeight="1" thickBot="1">
      <c r="A18" s="2" t="n"/>
      <c r="B18" s="4" t="n"/>
      <c r="C18" s="4" t="n"/>
      <c r="D18" s="6" t="n"/>
      <c r="E18" s="39" t="n"/>
      <c r="F18" s="39" t="n"/>
      <c r="G18" s="39" t="n"/>
      <c r="H18" s="39" t="n"/>
      <c r="I18" s="40">
        <f>(IF(E18="x",(B18+50)/1000,0)+IF(F18="x",(B18+50)/1000,0)+IF(G18="x",(C18+50)/1000,0)+IF(H18="x",(C18+50)/1000,0))*D18</f>
        <v/>
      </c>
      <c r="J18" s="137" t="n"/>
      <c r="K18" s="138" t="n"/>
      <c r="L18" s="139" t="n"/>
      <c r="M18" s="140" t="n"/>
      <c r="N18" s="141" t="n"/>
      <c r="O18" s="142" t="n"/>
      <c r="P18" s="50" t="n"/>
      <c r="Q18" s="141" t="n"/>
      <c r="R18" s="142" t="n"/>
    </row>
    <row r="19" ht="21.95" customHeight="1" thickBot="1">
      <c r="A19" s="2" t="n"/>
      <c r="B19" s="4" t="n"/>
      <c r="C19" s="4" t="n"/>
      <c r="D19" s="6" t="n"/>
      <c r="E19" s="39" t="n"/>
      <c r="F19" s="39" t="n"/>
      <c r="G19" s="39" t="n"/>
      <c r="H19" s="39" t="n"/>
      <c r="I19" s="40">
        <f>(IF(E19="x",(B19+50)/1000,0)+IF(F19="x",(B19+50)/1000,0)+IF(G19="x",(C19+50)/1000,0)+IF(H19="x",(C19+50)/1000,0))*D19</f>
        <v/>
      </c>
      <c r="J19" s="137" t="n"/>
      <c r="K19" s="138" t="n"/>
      <c r="L19" s="139" t="n"/>
      <c r="M19" s="140" t="n"/>
      <c r="N19" s="141" t="n"/>
      <c r="O19" s="142" t="n"/>
      <c r="P19" s="50" t="n"/>
      <c r="Q19" s="141" t="n"/>
      <c r="R19" s="142" t="n"/>
    </row>
    <row r="20" ht="21.95" customHeight="1" thickBot="1">
      <c r="A20" s="2" t="n"/>
      <c r="B20" s="4" t="n"/>
      <c r="C20" s="4" t="n"/>
      <c r="D20" s="6" t="n"/>
      <c r="E20" s="39" t="n"/>
      <c r="F20" s="39" t="n"/>
      <c r="G20" s="39" t="n"/>
      <c r="H20" s="39" t="n"/>
      <c r="I20" s="40">
        <f>(IF(E20="x",(B20+50)/1000,0)+IF(F20="x",(B20+50)/1000,0)+IF(G20="x",(C20+50)/1000,0)+IF(H20="x",(C20+50)/1000,0))*D20</f>
        <v/>
      </c>
      <c r="J20" s="137" t="n"/>
      <c r="K20" s="138" t="n"/>
      <c r="L20" s="139" t="n"/>
      <c r="M20" s="140" t="n"/>
      <c r="N20" s="141" t="n"/>
      <c r="O20" s="142" t="n"/>
      <c r="P20" s="50" t="n"/>
      <c r="Q20" s="141" t="n"/>
      <c r="R20" s="142" t="n"/>
    </row>
    <row r="21" ht="21.95" customHeight="1" thickBot="1">
      <c r="A21" s="2" t="n"/>
      <c r="B21" s="4" t="n"/>
      <c r="C21" s="4" t="n"/>
      <c r="D21" s="6" t="n"/>
      <c r="E21" s="39" t="n"/>
      <c r="F21" s="39" t="n"/>
      <c r="G21" s="39" t="n"/>
      <c r="H21" s="39" t="n"/>
      <c r="I21" s="40">
        <f>(IF(E21="x",(B21+50)/1000,0)+IF(F21="x",(B21+50)/1000,0)+IF(G21="x",(C21+50)/1000,0)+IF(H21="x",(C21+50)/1000,0))*D21</f>
        <v/>
      </c>
      <c r="J21" s="48" t="n"/>
      <c r="K21" s="141" t="n"/>
      <c r="L21" s="141" t="n"/>
      <c r="M21" s="140" t="n"/>
      <c r="N21" s="141" t="n"/>
      <c r="O21" s="142" t="n"/>
      <c r="P21" s="50" t="n"/>
      <c r="Q21" s="141" t="n"/>
      <c r="R21" s="142" t="n"/>
    </row>
    <row r="22" ht="21.95" customHeight="1" thickBot="1">
      <c r="A22" s="2" t="n"/>
      <c r="B22" s="4" t="n"/>
      <c r="C22" s="4" t="n"/>
      <c r="D22" s="6" t="n"/>
      <c r="E22" s="39" t="n"/>
      <c r="F22" s="39" t="n"/>
      <c r="G22" s="39" t="n"/>
      <c r="H22" s="39" t="n"/>
      <c r="I22" s="40">
        <f>(IF(E22="x",(B22+50)/1000,0)+IF(F22="x",(B22+50)/1000,0)+IF(G22="x",(C22+50)/1000,0)+IF(H22="x",(C22+50)/1000,0))*D22</f>
        <v/>
      </c>
      <c r="J22" s="48" t="n"/>
      <c r="K22" s="141" t="n"/>
      <c r="L22" s="141" t="n"/>
      <c r="M22" s="140" t="n"/>
      <c r="N22" s="141" t="n"/>
      <c r="O22" s="142" t="n"/>
      <c r="P22" s="50" t="n"/>
      <c r="Q22" s="141" t="n"/>
      <c r="R22" s="142" t="n"/>
    </row>
    <row r="23" ht="21.95" customHeight="1" thickBot="1">
      <c r="A23" s="2" t="n"/>
      <c r="B23" s="4" t="n"/>
      <c r="C23" s="4" t="n"/>
      <c r="D23" s="6" t="n"/>
      <c r="E23" s="39" t="n"/>
      <c r="F23" s="39" t="n"/>
      <c r="G23" s="39" t="n"/>
      <c r="H23" s="39" t="n"/>
      <c r="I23" s="40">
        <f>(IF(E23="x",(B23+50)/1000,0)+IF(F23="x",(B23+50)/1000,0)+IF(G23="x",(C23+50)/1000,0)+IF(H23="x",(C23+50)/1000,0))*D23</f>
        <v/>
      </c>
      <c r="J23" s="48" t="n"/>
      <c r="K23" s="141" t="n"/>
      <c r="L23" s="141" t="n"/>
      <c r="M23" s="140" t="n"/>
      <c r="N23" s="141" t="n"/>
      <c r="O23" s="142" t="n"/>
      <c r="P23" s="50" t="n"/>
      <c r="Q23" s="141" t="n"/>
      <c r="R23" s="142" t="n"/>
    </row>
    <row r="24" ht="21.95" customHeight="1" thickBot="1">
      <c r="A24" s="2" t="n"/>
      <c r="B24" s="4" t="n"/>
      <c r="C24" s="4" t="n"/>
      <c r="D24" s="6" t="n"/>
      <c r="E24" s="39" t="n"/>
      <c r="F24" s="39" t="n"/>
      <c r="G24" s="39" t="n"/>
      <c r="H24" s="39" t="n"/>
      <c r="I24" s="40">
        <f>(IF(E24="x",(B24+50)/1000,0)+IF(F24="x",(B24+50)/1000,0)+IF(G24="x",(C24+50)/1000,0)+IF(H24="x",(C24+50)/1000,0))*D24</f>
        <v/>
      </c>
      <c r="J24" s="48" t="n"/>
      <c r="K24" s="141" t="n"/>
      <c r="L24" s="141" t="n"/>
      <c r="M24" s="140" t="n"/>
      <c r="N24" s="141" t="n"/>
      <c r="O24" s="142" t="n"/>
      <c r="P24" s="50" t="n"/>
      <c r="Q24" s="141" t="n"/>
      <c r="R24" s="142" t="n"/>
    </row>
    <row r="25" ht="21.95" customHeight="1" thickBot="1">
      <c r="A25" s="2" t="n"/>
      <c r="B25" s="4" t="n"/>
      <c r="C25" s="4" t="n"/>
      <c r="D25" s="6" t="n"/>
      <c r="E25" s="42" t="n"/>
      <c r="F25" s="42" t="n"/>
      <c r="G25" s="42" t="n"/>
      <c r="H25" s="42" t="n"/>
      <c r="I25" s="40">
        <f>(IF(E25="x",(B25+50)/1000,0)+IF(F25="x",(B25+50)/1000,0)+IF(G25="x",(C25+50)/1000,0)+IF(H25="x",(C25+50)/1000,0))*D25</f>
        <v/>
      </c>
      <c r="J25" s="48" t="n"/>
      <c r="K25" s="141" t="n"/>
      <c r="L25" s="141" t="n"/>
      <c r="M25" s="140" t="n"/>
      <c r="N25" s="141" t="n"/>
      <c r="O25" s="142" t="n"/>
      <c r="P25" s="50" t="n"/>
      <c r="Q25" s="141" t="n"/>
      <c r="R25" s="142" t="n"/>
    </row>
    <row r="26" ht="21.95" customHeight="1" thickBot="1">
      <c r="A26" s="2" t="n"/>
      <c r="B26" s="4" t="n"/>
      <c r="C26" s="4" t="n"/>
      <c r="D26" s="6" t="n"/>
      <c r="E26" s="42" t="n"/>
      <c r="F26" s="42" t="n"/>
      <c r="G26" s="42" t="n"/>
      <c r="H26" s="42" t="n"/>
      <c r="I26" s="40">
        <f>(IF(E26="x",(B26+50)/1000,0)+IF(F26="x",(B26+50)/1000,0)+IF(G26="x",(C26+50)/1000,0)+IF(H26="x",(C26+50)/1000,0))*D26</f>
        <v/>
      </c>
      <c r="J26" s="48" t="n"/>
      <c r="K26" s="141" t="n"/>
      <c r="L26" s="141" t="n"/>
      <c r="M26" s="140" t="n"/>
      <c r="N26" s="141" t="n"/>
      <c r="O26" s="142" t="n"/>
      <c r="P26" s="50" t="n"/>
      <c r="Q26" s="141" t="n"/>
      <c r="R26" s="142" t="n"/>
    </row>
    <row r="27" ht="21.95" customHeight="1" thickBot="1">
      <c r="A27" s="43" t="n"/>
      <c r="B27" s="4" t="n"/>
      <c r="C27" s="4" t="n"/>
      <c r="D27" s="6" t="n"/>
      <c r="E27" s="42" t="n"/>
      <c r="F27" s="42" t="n"/>
      <c r="G27" s="42" t="n"/>
      <c r="H27" s="42" t="n"/>
      <c r="I27" s="40">
        <f>(IF(E27="x",(B27+50)/1000,0)+IF(F27="x",(B27+50)/1000,0)+IF(G27="x",(C27+50)/1000,0)+IF(H27="x",(C27+50)/1000,0))*D27</f>
        <v/>
      </c>
      <c r="J27" s="48" t="n"/>
      <c r="K27" s="141" t="n"/>
      <c r="L27" s="141" t="n"/>
      <c r="M27" s="140" t="n"/>
      <c r="N27" s="141" t="n"/>
      <c r="O27" s="142" t="n"/>
      <c r="P27" s="50" t="n"/>
      <c r="Q27" s="141" t="n"/>
      <c r="R27" s="142" t="n"/>
    </row>
    <row r="28" ht="21.95" customHeight="1" thickBot="1">
      <c r="A28" s="2" t="n"/>
      <c r="B28" s="4" t="n"/>
      <c r="C28" s="4" t="n"/>
      <c r="D28" s="6" t="n"/>
      <c r="E28" s="42" t="n"/>
      <c r="F28" s="42" t="n"/>
      <c r="G28" s="42" t="n"/>
      <c r="H28" s="42" t="n"/>
      <c r="I28" s="40">
        <f>(IF(E28="x",(B28+50)/1000,0)+IF(F28="x",(B28+50)/1000,0)+IF(G28="x",(C28+50)/1000,0)+IF(H28="x",(C28+50)/1000,0))*D28</f>
        <v/>
      </c>
      <c r="J28" s="48" t="n"/>
      <c r="K28" s="141" t="n"/>
      <c r="L28" s="141" t="n"/>
      <c r="M28" s="140" t="n"/>
      <c r="N28" s="141" t="n"/>
      <c r="O28" s="142" t="n"/>
      <c r="P28" s="50" t="n"/>
      <c r="Q28" s="141" t="n"/>
      <c r="R28" s="142" t="n"/>
    </row>
    <row r="29" ht="21.95" customHeight="1" thickBot="1">
      <c r="A29" s="2" t="n"/>
      <c r="B29" s="4" t="n"/>
      <c r="C29" s="4" t="n"/>
      <c r="D29" s="6" t="n"/>
      <c r="E29" s="42" t="n"/>
      <c r="F29" s="42" t="n"/>
      <c r="G29" s="42" t="n"/>
      <c r="H29" s="42" t="n"/>
      <c r="I29" s="40">
        <f>(IF(E29="x",(B29+50)/1000,0)+IF(F29="x",(B29+50)/1000,0)+IF(G29="x",(C29+50)/1000,0)+IF(H29="x",(C29+50)/1000,0))*D29</f>
        <v/>
      </c>
      <c r="J29" s="48" t="n"/>
      <c r="K29" s="141" t="n"/>
      <c r="L29" s="141" t="n"/>
      <c r="M29" s="140" t="n"/>
      <c r="N29" s="141" t="n"/>
      <c r="O29" s="142" t="n"/>
      <c r="P29" s="50" t="n"/>
      <c r="Q29" s="141" t="n"/>
      <c r="R29" s="142" t="n"/>
    </row>
    <row r="30" ht="21.95" customHeight="1" thickBot="1">
      <c r="A30" s="2" t="n"/>
      <c r="B30" s="4" t="n"/>
      <c r="C30" s="4" t="n"/>
      <c r="D30" s="6" t="n"/>
      <c r="E30" s="42" t="n"/>
      <c r="F30" s="42" t="n"/>
      <c r="G30" s="42" t="n"/>
      <c r="H30" s="42" t="n"/>
      <c r="I30" s="40">
        <f>(IF(E30="x",(B30+50)/1000,0)+IF(F30="x",(B30+50)/1000,0)+IF(G30="x",(C30+50)/1000,0)+IF(H30="x",(C30+50)/1000,0))*D30</f>
        <v/>
      </c>
      <c r="J30" s="48" t="n"/>
      <c r="K30" s="141" t="n"/>
      <c r="L30" s="141" t="n"/>
      <c r="M30" s="140" t="n"/>
      <c r="N30" s="141" t="n"/>
      <c r="O30" s="142" t="n"/>
      <c r="P30" s="50" t="n"/>
      <c r="Q30" s="141" t="n"/>
      <c r="R30" s="142" t="n"/>
    </row>
    <row r="31" ht="21.95" customHeight="1" thickBot="1">
      <c r="A31" s="2" t="n"/>
      <c r="B31" s="4" t="n"/>
      <c r="C31" s="4" t="n"/>
      <c r="D31" s="6" t="n"/>
      <c r="E31" s="42" t="n"/>
      <c r="F31" s="42" t="n"/>
      <c r="G31" s="42" t="n"/>
      <c r="H31" s="42" t="n"/>
      <c r="I31" s="40">
        <f>(IF(E31="x",(B31+50)/1000,0)+IF(F31="x",(B31+50)/1000,0)+IF(G31="x",(C31+50)/1000,0)+IF(H31="x",(C31+50)/1000,0))*D31</f>
        <v/>
      </c>
      <c r="J31" s="48" t="n"/>
      <c r="K31" s="141" t="n"/>
      <c r="L31" s="141" t="n"/>
      <c r="M31" s="140" t="n"/>
      <c r="N31" s="141" t="n"/>
      <c r="O31" s="142" t="n"/>
      <c r="P31" s="50" t="n"/>
      <c r="Q31" s="141" t="n"/>
      <c r="R31" s="142" t="n"/>
    </row>
    <row r="32" ht="21.95" customHeight="1" thickBot="1">
      <c r="A32" s="2" t="n"/>
      <c r="B32" s="4" t="n"/>
      <c r="C32" s="4" t="n"/>
      <c r="D32" s="6" t="n"/>
      <c r="E32" s="42" t="n"/>
      <c r="F32" s="42" t="n"/>
      <c r="G32" s="42" t="n"/>
      <c r="H32" s="42" t="n"/>
      <c r="I32" s="40">
        <f>(IF(E32="x",(B32+50)/1000,0)+IF(F32="x",(B32+50)/1000,0)+IF(G32="x",(C32+50)/1000,0)+IF(H32="x",(C32+50)/1000,0))*D32</f>
        <v/>
      </c>
      <c r="J32" s="48" t="n"/>
      <c r="K32" s="141" t="n"/>
      <c r="L32" s="141" t="n"/>
      <c r="M32" s="140" t="n"/>
      <c r="N32" s="141" t="n"/>
      <c r="O32" s="142" t="n"/>
      <c r="P32" s="50" t="n"/>
      <c r="Q32" s="141" t="n"/>
      <c r="R32" s="142" t="n"/>
    </row>
    <row r="33" ht="21.95" customHeight="1" thickBot="1">
      <c r="A33" s="2" t="n"/>
      <c r="B33" s="4" t="n"/>
      <c r="C33" s="4" t="n"/>
      <c r="D33" s="6" t="n"/>
      <c r="E33" s="42" t="n"/>
      <c r="F33" s="42" t="n"/>
      <c r="G33" s="42" t="n"/>
      <c r="H33" s="42" t="n"/>
      <c r="I33" s="40">
        <f>(IF(E33="x",(B33+50)/1000,0)+IF(F33="x",(B33+50)/1000,0)+IF(G33="x",(C33+50)/1000,0)+IF(H33="x",(C33+50)/1000,0))*D33</f>
        <v/>
      </c>
      <c r="J33" s="48" t="n"/>
      <c r="K33" s="141" t="n"/>
      <c r="L33" s="141" t="n"/>
      <c r="M33" s="140" t="n"/>
      <c r="N33" s="141" t="n"/>
      <c r="O33" s="142" t="n"/>
      <c r="P33" s="50" t="n"/>
      <c r="Q33" s="141" t="n"/>
      <c r="R33" s="142" t="n"/>
    </row>
    <row r="34" ht="21.95" customHeight="1" thickBot="1">
      <c r="A34" s="2" t="n"/>
      <c r="B34" s="5" t="n"/>
      <c r="C34" s="5" t="n"/>
      <c r="D34" s="21" t="n"/>
      <c r="E34" s="42" t="n"/>
      <c r="F34" s="42" t="n"/>
      <c r="G34" s="42" t="n"/>
      <c r="H34" s="42" t="n"/>
      <c r="I34" s="40">
        <f>(IF(E34="x",(B34+50)/1000,0)+IF(F34="x",(B34+50)/1000,0)+IF(G34="x",(C34+50)/1000,0)+IF(H34="x",(C34+50)/1000,0))*D34</f>
        <v/>
      </c>
      <c r="J34" s="48" t="n"/>
      <c r="K34" s="141" t="n"/>
      <c r="L34" s="141" t="n"/>
      <c r="M34" s="140" t="n"/>
      <c r="N34" s="141" t="n"/>
      <c r="O34" s="142" t="n"/>
      <c r="P34" s="50" t="n"/>
      <c r="Q34" s="141" t="n"/>
      <c r="R34" s="142" t="n"/>
    </row>
    <row r="35" ht="22.5" customHeight="1" thickBot="1">
      <c r="A35" s="2" t="n"/>
      <c r="B35" s="4" t="n"/>
      <c r="C35" s="4" t="n"/>
      <c r="D35" s="6" t="n"/>
      <c r="E35" s="42" t="n"/>
      <c r="F35" s="42" t="n"/>
      <c r="G35" s="42" t="n"/>
      <c r="H35" s="42" t="n"/>
      <c r="I35" s="40">
        <f>(IF(E35="x",(B35+50)/1000,0)+IF(F35="x",(B35+50)/1000,0)+IF(G35="x",(C35+50)/1000,0)+IF(H35="x",(C35+50)/1000,0))*D35</f>
        <v/>
      </c>
      <c r="J35" s="48" t="n"/>
      <c r="K35" s="141" t="n"/>
      <c r="L35" s="141" t="n"/>
      <c r="M35" s="140" t="n"/>
      <c r="N35" s="141" t="n"/>
      <c r="O35" s="142" t="n"/>
      <c r="P35" s="50" t="n"/>
      <c r="Q35" s="141" t="n"/>
      <c r="R35" s="142" t="n"/>
    </row>
    <row r="36" ht="19.5" customHeight="1" thickBot="1">
      <c r="A36" s="2" t="n"/>
      <c r="B36" s="4" t="n"/>
      <c r="C36" s="4" t="n"/>
      <c r="D36" s="6" t="n"/>
      <c r="E36" s="42" t="n"/>
      <c r="F36" s="42" t="n"/>
      <c r="G36" s="42" t="n"/>
      <c r="H36" s="42" t="n"/>
      <c r="I36" s="40">
        <f>(IF(E36="x",(B36+50)/1000,0)+IF(F36="x",(B36+50)/1000,0)+IF(G36="x",(C36+50)/1000,0)+IF(H36="x",(C36+50)/1000,0))*D36</f>
        <v/>
      </c>
      <c r="J36" s="48" t="n"/>
      <c r="K36" s="141" t="n"/>
      <c r="L36" s="141" t="n"/>
      <c r="M36" s="140" t="n"/>
      <c r="N36" s="141" t="n"/>
      <c r="O36" s="142" t="n"/>
      <c r="P36" s="50" t="n"/>
      <c r="Q36" s="141" t="n"/>
      <c r="R36" s="142" t="n"/>
    </row>
    <row r="37" ht="19.5" customHeight="1" thickBot="1">
      <c r="A37" s="2" t="n"/>
      <c r="B37" s="4" t="n"/>
      <c r="C37" s="4" t="n"/>
      <c r="D37" s="6" t="n"/>
      <c r="E37" s="42" t="n"/>
      <c r="F37" s="42" t="n"/>
      <c r="G37" s="42" t="n"/>
      <c r="H37" s="42" t="n"/>
      <c r="I37" s="40">
        <f>(IF(E37="x",(B37+50)/1000,0)+IF(F37="x",(B37+50)/1000,0)+IF(G37="x",(C37+50)/1000,0)+IF(H37="x",(C37+50)/1000,0))*D37</f>
        <v/>
      </c>
      <c r="J37" s="48" t="n"/>
      <c r="K37" s="141" t="n"/>
      <c r="L37" s="141" t="n"/>
      <c r="M37" s="140" t="n"/>
      <c r="N37" s="141" t="n"/>
      <c r="O37" s="142" t="n"/>
      <c r="P37" s="50" t="n"/>
      <c r="Q37" s="141" t="n"/>
      <c r="R37" s="142" t="n"/>
    </row>
    <row r="38" ht="19.5" customHeight="1" thickBot="1">
      <c r="A38" s="2" t="n"/>
      <c r="B38" s="4" t="n"/>
      <c r="C38" s="4" t="n"/>
      <c r="D38" s="6" t="n"/>
      <c r="E38" s="42" t="n"/>
      <c r="F38" s="42" t="n"/>
      <c r="G38" s="42" t="n"/>
      <c r="H38" s="42" t="n"/>
      <c r="I38" s="40">
        <f>(IF(E38="x",(B38+50)/1000,0)+IF(F38="x",(B38+50)/1000,0)+IF(G38="x",(C38+50)/1000,0)+IF(H38="x",(C38+50)/1000,0))*D38</f>
        <v/>
      </c>
      <c r="J38" s="48" t="n"/>
      <c r="K38" s="141" t="n"/>
      <c r="L38" s="141" t="n"/>
      <c r="M38" s="140" t="n"/>
      <c r="N38" s="141" t="n"/>
      <c r="O38" s="142" t="n"/>
      <c r="P38" s="50" t="n"/>
      <c r="Q38" s="141" t="n"/>
      <c r="R38" s="142" t="n"/>
    </row>
    <row r="39" ht="19.5" customHeight="1" thickBot="1">
      <c r="A39" s="2" t="n"/>
      <c r="B39" s="4" t="n"/>
      <c r="C39" s="4" t="n"/>
      <c r="D39" s="6" t="n"/>
      <c r="E39" s="42" t="n"/>
      <c r="F39" s="42" t="n"/>
      <c r="G39" s="42" t="n"/>
      <c r="H39" s="42" t="n"/>
      <c r="I39" s="40">
        <f>(IF(E39="x",(B39+50)/1000,0)+IF(F39="x",(B39+50)/1000,0)+IF(G39="x",(C39+50)/1000,0)+IF(H39="x",(C39+50)/1000,0))*D39</f>
        <v/>
      </c>
      <c r="J39" s="48" t="n"/>
      <c r="K39" s="141" t="n"/>
      <c r="L39" s="141" t="n"/>
      <c r="M39" s="140" t="n"/>
      <c r="N39" s="141" t="n"/>
      <c r="O39" s="142" t="n"/>
      <c r="P39" s="50" t="n"/>
      <c r="Q39" s="141" t="n"/>
      <c r="R39" s="142" t="n"/>
    </row>
    <row r="40" ht="19.5" customHeight="1" thickBot="1">
      <c r="A40" s="2" t="n"/>
      <c r="B40" s="4" t="n"/>
      <c r="C40" s="4" t="n"/>
      <c r="D40" s="6" t="n"/>
      <c r="E40" s="42" t="n"/>
      <c r="F40" s="42" t="n"/>
      <c r="G40" s="42" t="n"/>
      <c r="H40" s="42" t="n"/>
      <c r="I40" s="40">
        <f>(IF(E40="x",(B40+50)/1000,0)+IF(F40="x",(B40+50)/1000,0)+IF(G40="x",(C40+50)/1000,0)+IF(H40="x",(C40+50)/1000,0))*D40</f>
        <v/>
      </c>
      <c r="J40" s="48" t="n"/>
      <c r="K40" s="141" t="n"/>
      <c r="L40" s="141" t="n"/>
      <c r="M40" s="140" t="n"/>
      <c r="N40" s="141" t="n"/>
      <c r="O40" s="142" t="n"/>
      <c r="P40" s="50" t="n"/>
      <c r="Q40" s="141" t="n"/>
      <c r="R40" s="142" t="n"/>
    </row>
    <row r="41" ht="19.5" customHeight="1" thickBot="1">
      <c r="A41" s="2" t="n"/>
      <c r="B41" s="4" t="n"/>
      <c r="C41" s="4" t="n"/>
      <c r="D41" s="6" t="n"/>
      <c r="E41" s="42" t="n"/>
      <c r="F41" s="42" t="n"/>
      <c r="G41" s="42" t="n"/>
      <c r="H41" s="42" t="n"/>
      <c r="I41" s="40">
        <f>(IF(E41="x",(B41+50)/1000,0)+IF(F41="x",(B41+50)/1000,0)+IF(G41="x",(C41+50)/1000,0)+IF(H41="x",(C41+50)/1000,0))*D41</f>
        <v/>
      </c>
      <c r="J41" s="48" t="n"/>
      <c r="K41" s="141" t="n"/>
      <c r="L41" s="141" t="n"/>
      <c r="M41" s="140" t="n"/>
      <c r="N41" s="141" t="n"/>
      <c r="O41" s="142" t="n"/>
      <c r="P41" s="50" t="n"/>
      <c r="Q41" s="141" t="n"/>
      <c r="R41" s="142" t="n"/>
    </row>
    <row r="42" ht="19.5" customHeight="1" thickBot="1">
      <c r="A42" s="2" t="n"/>
      <c r="B42" s="4" t="n"/>
      <c r="C42" s="4" t="n"/>
      <c r="D42" s="6" t="n"/>
      <c r="E42" s="42" t="n"/>
      <c r="F42" s="42" t="n"/>
      <c r="G42" s="42" t="n"/>
      <c r="H42" s="42" t="n"/>
      <c r="I42" s="40">
        <f>(IF(E42="x",(B42+50)/1000,0)+IF(F42="x",(B42+50)/1000,0)+IF(G42="x",(C42+50)/1000,0)+IF(H42="x",(C42+50)/1000,0))*D42</f>
        <v/>
      </c>
      <c r="J42" s="48" t="n"/>
      <c r="K42" s="141" t="n"/>
      <c r="L42" s="141" t="n"/>
      <c r="M42" s="140" t="n"/>
      <c r="N42" s="141" t="n"/>
      <c r="O42" s="142" t="n"/>
      <c r="P42" s="50" t="n"/>
      <c r="Q42" s="141" t="n"/>
      <c r="R42" s="142" t="n"/>
    </row>
    <row r="43" ht="19.5" customHeight="1" thickBot="1">
      <c r="A43" s="2" t="n"/>
      <c r="B43" s="4" t="n"/>
      <c r="C43" s="4" t="n"/>
      <c r="D43" s="6" t="n"/>
      <c r="E43" s="42" t="n"/>
      <c r="F43" s="42" t="n"/>
      <c r="G43" s="42" t="n"/>
      <c r="H43" s="42" t="n"/>
      <c r="I43" s="40">
        <f>(IF(E43="x",(B43+50)/1000,0)+IF(F43="x",(B43+50)/1000,0)+IF(G43="x",(C43+50)/1000,0)+IF(H43="x",(C43+50)/1000,0))*D43</f>
        <v/>
      </c>
      <c r="J43" s="48" t="n"/>
      <c r="K43" s="141" t="n"/>
      <c r="L43" s="141" t="n"/>
      <c r="M43" s="140" t="n"/>
      <c r="N43" s="141" t="n"/>
      <c r="O43" s="142" t="n"/>
      <c r="P43" s="50" t="n"/>
      <c r="Q43" s="141" t="n"/>
      <c r="R43" s="142" t="n"/>
    </row>
    <row r="44" ht="19.5" customHeight="1" thickBot="1">
      <c r="A44" s="2" t="n"/>
      <c r="B44" s="4" t="n"/>
      <c r="C44" s="4" t="n"/>
      <c r="D44" s="6" t="n"/>
      <c r="E44" s="42" t="n"/>
      <c r="F44" s="42" t="n"/>
      <c r="G44" s="42" t="n"/>
      <c r="H44" s="42" t="n"/>
      <c r="I44" s="40">
        <f>(IF(E44="x",(B44+50)/1000,0)+IF(F44="x",(B44+50)/1000,0)+IF(G44="x",(C44+50)/1000,0)+IF(H44="x",(C44+50)/1000,0))*D44</f>
        <v/>
      </c>
      <c r="J44" s="48" t="n"/>
      <c r="K44" s="141" t="n"/>
      <c r="L44" s="141" t="n"/>
      <c r="M44" s="137" t="n"/>
      <c r="N44" s="138" t="n"/>
      <c r="O44" s="139" t="n"/>
      <c r="P44" s="137" t="n"/>
      <c r="Q44" s="138" t="n"/>
      <c r="R44" s="139" t="n"/>
    </row>
    <row r="45" ht="19.5" customHeight="1" thickBot="1">
      <c r="A45" s="2" t="n"/>
      <c r="B45" s="4" t="n"/>
      <c r="C45" s="4" t="n"/>
      <c r="D45" s="6" t="n"/>
      <c r="E45" s="42" t="n"/>
      <c r="F45" s="42" t="n"/>
      <c r="G45" s="42" t="n"/>
      <c r="H45" s="42" t="n"/>
      <c r="I45" s="40">
        <f>(IF(E45="x",(B45+50)/1000,0)+IF(F45="x",(B45+50)/1000,0)+IF(G45="x",(C45+50)/1000,0)+IF(H45="x",(C45+50)/1000,0))*D45</f>
        <v/>
      </c>
      <c r="J45" s="137" t="n"/>
      <c r="K45" s="138" t="n"/>
      <c r="L45" s="139" t="n"/>
      <c r="M45" s="137" t="n"/>
      <c r="N45" s="138" t="n"/>
      <c r="O45" s="139" t="n"/>
      <c r="P45" s="137" t="n"/>
      <c r="Q45" s="138" t="n"/>
      <c r="R45" s="139" t="n"/>
    </row>
    <row r="46" ht="19.5" customHeight="1" thickBot="1">
      <c r="A46" s="2" t="n"/>
      <c r="B46" s="4" t="n"/>
      <c r="C46" s="4" t="n"/>
      <c r="D46" s="6" t="n"/>
      <c r="E46" s="42" t="n"/>
      <c r="F46" s="42" t="n"/>
      <c r="G46" s="42" t="n"/>
      <c r="H46" s="42" t="n"/>
      <c r="I46" s="40">
        <f>(IF(E46="x",(B46+50)/1000,0)+IF(F46="x",(B46+50)/1000,0)+IF(G46="x",(C46+50)/1000,0)+IF(H46="x",(C46+50)/1000,0))*D46</f>
        <v/>
      </c>
      <c r="J46" s="137" t="n"/>
      <c r="K46" s="138" t="n"/>
      <c r="L46" s="139" t="n"/>
      <c r="M46" s="140" t="n"/>
      <c r="N46" s="141" t="n"/>
      <c r="O46" s="142" t="n"/>
      <c r="P46" s="50" t="n"/>
      <c r="Q46" s="141" t="n"/>
      <c r="R46" s="142" t="n"/>
    </row>
    <row r="47" ht="19.5" customHeight="1" thickBot="1">
      <c r="A47" s="2" t="n"/>
      <c r="B47" s="4" t="n"/>
      <c r="C47" s="4" t="n"/>
      <c r="D47" s="6" t="n"/>
      <c r="E47" s="42" t="n"/>
      <c r="F47" s="42" t="n"/>
      <c r="G47" s="42" t="n"/>
      <c r="H47" s="42" t="n"/>
      <c r="I47" s="40">
        <f>(IF(E47="x",(B47+50)/1000,0)+IF(F47="x",(B47+50)/1000,0)+IF(G47="x",(C47+50)/1000,0)+IF(H47="x",(C47+50)/1000,0))*D47</f>
        <v/>
      </c>
      <c r="J47" s="137" t="n"/>
      <c r="K47" s="138" t="n"/>
      <c r="L47" s="139" t="n"/>
      <c r="M47" s="140" t="n"/>
      <c r="N47" s="141" t="n"/>
      <c r="O47" s="142" t="n"/>
      <c r="P47" s="50" t="n"/>
      <c r="Q47" s="141" t="n"/>
      <c r="R47" s="142" t="n"/>
    </row>
    <row r="48" ht="19.5" customHeight="1" thickBot="1">
      <c r="A48" s="2" t="n"/>
      <c r="B48" s="4" t="n"/>
      <c r="C48" s="4" t="n"/>
      <c r="D48" s="6" t="n"/>
      <c r="E48" s="42" t="n"/>
      <c r="F48" s="42" t="n"/>
      <c r="G48" s="42" t="n"/>
      <c r="H48" s="42" t="n"/>
      <c r="I48" s="40">
        <f>(IF(E48="x",(B48+50)/1000,0)+IF(F48="x",(B48+50)/1000,0)+IF(G48="x",(C48+50)/1000,0)+IF(H48="x",(C48+50)/1000,0))*D48</f>
        <v/>
      </c>
      <c r="J48" s="137" t="n"/>
      <c r="K48" s="138" t="n"/>
      <c r="L48" s="139" t="n"/>
      <c r="M48" s="137" t="n"/>
      <c r="N48" s="138" t="n"/>
      <c r="O48" s="139" t="n"/>
      <c r="P48" s="137" t="n"/>
      <c r="Q48" s="138" t="n"/>
      <c r="R48" s="139" t="n"/>
    </row>
    <row r="49" ht="19.5" customHeight="1" thickBot="1">
      <c r="A49" s="2" t="n"/>
      <c r="B49" s="4" t="n"/>
      <c r="C49" s="4" t="n"/>
      <c r="D49" s="6" t="n"/>
      <c r="E49" s="42" t="n"/>
      <c r="F49" s="42" t="n"/>
      <c r="G49" s="42" t="n"/>
      <c r="H49" s="42" t="n"/>
      <c r="I49" s="40">
        <f>(IF(E49="x",(B49+50)/1000,0)+IF(F49="x",(B49+50)/1000,0)+IF(G49="x",(C49+50)/1000,0)+IF(H49="x",(C49+50)/1000,0))*D49</f>
        <v/>
      </c>
      <c r="J49" s="137" t="n"/>
      <c r="K49" s="138" t="n"/>
      <c r="L49" s="139" t="n"/>
      <c r="M49" s="140" t="n"/>
      <c r="N49" s="141" t="n"/>
      <c r="O49" s="142" t="n"/>
      <c r="P49" s="50" t="n"/>
      <c r="Q49" s="141" t="n"/>
      <c r="R49" s="142" t="n"/>
    </row>
    <row r="50" ht="19.5" customHeight="1" thickBot="1">
      <c r="A50" s="2" t="n"/>
      <c r="B50" s="4" t="n"/>
      <c r="C50" s="4" t="n"/>
      <c r="D50" s="6" t="n"/>
      <c r="E50" s="42" t="n"/>
      <c r="F50" s="42" t="n"/>
      <c r="G50" s="42" t="n"/>
      <c r="H50" s="42" t="n"/>
      <c r="I50" s="40">
        <f>(IF(E50="x",(B50+50)/1000,0)+IF(F50="x",(B50+50)/1000,0)+IF(G50="x",(C50+50)/1000,0)+IF(H50="x",(C50+50)/1000,0))*D50</f>
        <v/>
      </c>
      <c r="J50" s="137" t="n"/>
      <c r="K50" s="138" t="n"/>
      <c r="L50" s="139" t="n"/>
      <c r="M50" s="140" t="n"/>
      <c r="N50" s="141" t="n"/>
      <c r="O50" s="142" t="n"/>
      <c r="P50" s="50" t="n"/>
      <c r="Q50" s="141" t="n"/>
      <c r="R50" s="142" t="n"/>
    </row>
    <row r="51" ht="19.5" customHeight="1" thickBot="1">
      <c r="A51" s="2" t="n"/>
      <c r="B51" s="4" t="n"/>
      <c r="C51" s="4" t="n"/>
      <c r="D51" s="6" t="n"/>
      <c r="E51" s="42" t="n"/>
      <c r="F51" s="42" t="n"/>
      <c r="G51" s="42" t="n"/>
      <c r="H51" s="42" t="n"/>
      <c r="I51" s="40">
        <f>(IF(E51="x",(B51+50)/1000,0)+IF(F51="x",(B51+50)/1000,0)+IF(G51="x",(C51+50)/1000,0)+IF(H51="x",(C51+50)/1000,0))*D51</f>
        <v/>
      </c>
      <c r="J51" s="48" t="n"/>
      <c r="K51" s="141" t="n"/>
      <c r="L51" s="141" t="n"/>
      <c r="M51" s="140" t="n"/>
      <c r="N51" s="141" t="n"/>
      <c r="O51" s="142" t="n"/>
      <c r="P51" s="50" t="n"/>
      <c r="Q51" s="141" t="n"/>
      <c r="R51" s="142" t="n"/>
    </row>
    <row r="52" ht="19.5" customHeight="1" thickBot="1">
      <c r="A52" s="2" t="n"/>
      <c r="B52" s="4" t="n"/>
      <c r="C52" s="4" t="n"/>
      <c r="D52" s="6" t="n"/>
      <c r="E52" s="42" t="n"/>
      <c r="F52" s="42" t="n"/>
      <c r="G52" s="42" t="n"/>
      <c r="H52" s="42" t="n"/>
      <c r="I52" s="40">
        <f>(IF(E52="x",(B52+50)/1000,0)+IF(F52="x",(B52+50)/1000,0)+IF(G52="x",(C52+50)/1000,0)+IF(H52="x",(C52+50)/1000,0))*D52</f>
        <v/>
      </c>
      <c r="J52" s="137" t="n"/>
      <c r="K52" s="138" t="n"/>
      <c r="L52" s="139" t="n"/>
      <c r="M52" s="137" t="n"/>
      <c r="N52" s="138" t="n"/>
      <c r="O52" s="139" t="n"/>
      <c r="P52" s="137" t="n"/>
      <c r="Q52" s="138" t="n"/>
      <c r="R52" s="139" t="n"/>
    </row>
    <row r="53" ht="19.5" customHeight="1" thickBot="1">
      <c r="A53" s="2" t="n"/>
      <c r="B53" s="4" t="n"/>
      <c r="C53" s="4" t="n"/>
      <c r="D53" s="6" t="n"/>
      <c r="E53" s="42" t="n"/>
      <c r="F53" s="42" t="n"/>
      <c r="G53" s="42" t="n"/>
      <c r="H53" s="42" t="n"/>
      <c r="I53" s="40">
        <f>(IF(E53="x",(B53+50)/1000,0)+IF(F53="x",(B53+50)/1000,0)+IF(G53="x",(C53+50)/1000,0)+IF(H53="x",(C53+50)/1000,0))*D53</f>
        <v/>
      </c>
      <c r="J53" s="137" t="n"/>
      <c r="K53" s="138" t="n"/>
      <c r="L53" s="139" t="n"/>
      <c r="M53" s="137" t="n"/>
      <c r="N53" s="138" t="n"/>
      <c r="O53" s="139" t="n"/>
      <c r="P53" s="137" t="n"/>
      <c r="Q53" s="138" t="n"/>
      <c r="R53" s="139" t="n"/>
    </row>
    <row r="54" ht="19.5" customHeight="1" thickBot="1">
      <c r="A54" s="2" t="n"/>
      <c r="B54" s="4" t="n"/>
      <c r="C54" s="4" t="n"/>
      <c r="D54" s="6" t="n"/>
      <c r="E54" s="42" t="n"/>
      <c r="F54" s="42" t="n"/>
      <c r="G54" s="42" t="n"/>
      <c r="H54" s="42" t="n"/>
      <c r="I54" s="40">
        <f>(IF(E54="x",(B54+50)/1000,0)+IF(F54="x",(B54+50)/1000,0)+IF(G54="x",(C54+50)/1000,0)+IF(H54="x",(C54+50)/1000,0))*D54</f>
        <v/>
      </c>
      <c r="J54" s="48" t="n"/>
      <c r="K54" s="141" t="n"/>
      <c r="L54" s="141" t="n"/>
      <c r="M54" s="140" t="n"/>
      <c r="N54" s="141" t="n"/>
      <c r="O54" s="142" t="n"/>
      <c r="P54" s="50" t="n"/>
      <c r="Q54" s="141" t="n"/>
      <c r="R54" s="142" t="n"/>
    </row>
    <row r="55" ht="19.5" customHeight="1" thickBot="1">
      <c r="A55" s="2" t="n"/>
      <c r="B55" s="4" t="n"/>
      <c r="C55" s="4" t="n"/>
      <c r="D55" s="6" t="n"/>
      <c r="E55" s="42" t="n"/>
      <c r="F55" s="42" t="n"/>
      <c r="G55" s="42" t="n"/>
      <c r="H55" s="42" t="n"/>
      <c r="I55" s="40">
        <f>(IF(E55="x",(B55+50)/1000,0)+IF(F55="x",(B55+50)/1000,0)+IF(G55="x",(C55+50)/1000,0)+IF(H55="x",(C55+50)/1000,0))*D55</f>
        <v/>
      </c>
      <c r="J55" s="48" t="n"/>
      <c r="K55" s="141" t="n"/>
      <c r="L55" s="141" t="n"/>
      <c r="M55" s="140" t="n"/>
      <c r="N55" s="141" t="n"/>
      <c r="O55" s="142" t="n"/>
      <c r="P55" s="50" t="n"/>
      <c r="Q55" s="141" t="n"/>
      <c r="R55" s="142" t="n"/>
    </row>
    <row r="56" ht="19.5" customHeight="1" thickBot="1">
      <c r="A56" s="2" t="n"/>
      <c r="B56" s="4" t="n"/>
      <c r="C56" s="4" t="n"/>
      <c r="D56" s="6" t="n"/>
      <c r="E56" s="42" t="n"/>
      <c r="F56" s="42" t="n"/>
      <c r="G56" s="42" t="n"/>
      <c r="H56" s="42" t="n"/>
      <c r="I56" s="40">
        <f>(IF(E56="x",(B56+50)/1000,0)+IF(F56="x",(B56+50)/1000,0)+IF(G56="x",(C56+50)/1000,0)+IF(H56="x",(C56+50)/1000,0))*D56</f>
        <v/>
      </c>
      <c r="J56" s="48" t="n"/>
      <c r="K56" s="141" t="n"/>
      <c r="L56" s="141" t="n"/>
      <c r="M56" s="140" t="n"/>
      <c r="N56" s="141" t="n"/>
      <c r="O56" s="142" t="n"/>
      <c r="P56" s="50" t="n"/>
      <c r="Q56" s="141" t="n"/>
      <c r="R56" s="142" t="n"/>
    </row>
    <row r="57" ht="19.5" customHeight="1" thickBot="1">
      <c r="A57" s="2" t="n"/>
      <c r="B57" s="4" t="n"/>
      <c r="C57" s="4" t="n"/>
      <c r="D57" s="6" t="n"/>
      <c r="E57" s="42" t="n"/>
      <c r="F57" s="42" t="n"/>
      <c r="G57" s="42" t="n"/>
      <c r="H57" s="42" t="n"/>
      <c r="I57" s="40">
        <f>(IF(E57="x",(B57+50)/1000,0)+IF(F57="x",(B57+50)/1000,0)+IF(G57="x",(C57+50)/1000,0)+IF(H57="x",(C57+50)/1000,0))*D57</f>
        <v/>
      </c>
      <c r="J57" s="137" t="n"/>
      <c r="K57" s="138" t="n"/>
      <c r="L57" s="139" t="n"/>
      <c r="M57" s="137" t="n"/>
      <c r="N57" s="138" t="n"/>
      <c r="O57" s="139" t="n"/>
      <c r="P57" s="137" t="n"/>
      <c r="Q57" s="138" t="n"/>
      <c r="R57" s="139" t="n"/>
    </row>
    <row r="58" ht="19.5" customHeight="1" thickBot="1">
      <c r="A58" s="2" t="n"/>
      <c r="B58" s="4" t="n"/>
      <c r="C58" s="4" t="n"/>
      <c r="D58" s="6" t="n"/>
      <c r="E58" s="42" t="n"/>
      <c r="F58" s="42" t="n"/>
      <c r="G58" s="42" t="n"/>
      <c r="H58" s="42" t="n"/>
      <c r="I58" s="40">
        <f>(IF(E58="x",(B58+50)/1000,0)+IF(F58="x",(B58+50)/1000,0)+IF(G58="x",(C58+50)/1000,0)+IF(H58="x",(C58+50)/1000,0))*D58</f>
        <v/>
      </c>
      <c r="J58" s="137" t="n"/>
      <c r="K58" s="138" t="n"/>
      <c r="L58" s="139" t="n"/>
      <c r="M58" s="137" t="n"/>
      <c r="N58" s="138" t="n"/>
      <c r="O58" s="139" t="n"/>
      <c r="P58" s="137" t="n"/>
      <c r="Q58" s="138" t="n"/>
      <c r="R58" s="139" t="n"/>
    </row>
    <row r="59" ht="19.5" customHeight="1" thickBot="1">
      <c r="A59" s="6" t="n"/>
      <c r="B59" s="4" t="n"/>
      <c r="C59" s="4" t="n"/>
      <c r="D59" s="6" t="n"/>
      <c r="E59" s="42" t="n"/>
      <c r="F59" s="42" t="n"/>
      <c r="G59" s="42" t="n"/>
      <c r="H59" s="42" t="n"/>
      <c r="I59" s="40">
        <f>(IF(E59="x",(B59+50)/1000,0)+IF(F59="x",(B59+50)/1000,0)+IF(G59="x",(C59+50)/1000,0)+IF(H59="x",(C59+50)/1000,0))*D59</f>
        <v/>
      </c>
      <c r="J59" s="137" t="n"/>
      <c r="K59" s="138" t="n"/>
      <c r="L59" s="139" t="n"/>
      <c r="M59" s="137" t="n"/>
      <c r="N59" s="138" t="n"/>
      <c r="O59" s="139" t="n"/>
      <c r="P59" s="137" t="n"/>
      <c r="Q59" s="138" t="n"/>
      <c r="R59" s="139" t="n"/>
    </row>
    <row r="60" ht="19.5" customHeight="1" thickBot="1">
      <c r="A60" s="6" t="n"/>
      <c r="B60" s="4" t="n"/>
      <c r="C60" s="4" t="n"/>
      <c r="D60" s="6" t="n"/>
      <c r="E60" s="42" t="n"/>
      <c r="F60" s="42" t="n"/>
      <c r="G60" s="42" t="n"/>
      <c r="H60" s="42" t="n"/>
      <c r="I60" s="40">
        <f>(IF(E60="x",(B60+50)/1000,0)+IF(F60="x",(B60+50)/1000,0)+IF(G60="x",(C60+50)/1000,0)+IF(H60="x",(C60+50)/1000,0))*D60</f>
        <v/>
      </c>
      <c r="J60" s="137" t="n"/>
      <c r="K60" s="138" t="n"/>
      <c r="L60" s="139" t="n"/>
      <c r="M60" s="137" t="n"/>
      <c r="N60" s="138" t="n"/>
      <c r="O60" s="139" t="n"/>
      <c r="P60" s="137" t="n"/>
      <c r="Q60" s="138" t="n"/>
      <c r="R60" s="139" t="n"/>
    </row>
    <row r="61" ht="19.5" customHeight="1" thickBot="1">
      <c r="A61" s="2" t="n"/>
      <c r="B61" s="4" t="n"/>
      <c r="C61" s="4" t="n"/>
      <c r="D61" s="6" t="n"/>
      <c r="E61" s="42" t="n"/>
      <c r="F61" s="42" t="n"/>
      <c r="G61" s="42" t="n"/>
      <c r="H61" s="42" t="n"/>
      <c r="I61" s="40">
        <f>(IF(E61="x",(B61+50)/1000,0)+IF(F61="x",(B61+50)/1000,0)+IF(G61="x",(C61+50)/1000,0)+IF(H61="x",(C61+50)/1000,0))*D61</f>
        <v/>
      </c>
      <c r="J61" s="137" t="n"/>
      <c r="K61" s="138" t="n"/>
      <c r="L61" s="139" t="n"/>
      <c r="M61" s="140" t="n"/>
      <c r="N61" s="141" t="n"/>
      <c r="O61" s="142" t="n"/>
      <c r="P61" s="50" t="n"/>
      <c r="Q61" s="141" t="n"/>
      <c r="R61" s="142" t="n"/>
    </row>
    <row r="62" ht="19.5" customHeight="1" thickBot="1">
      <c r="A62" s="2" t="n"/>
      <c r="B62" s="4" t="n"/>
      <c r="C62" s="4" t="n"/>
      <c r="D62" s="6" t="n"/>
      <c r="E62" s="42" t="n"/>
      <c r="F62" s="42" t="n"/>
      <c r="G62" s="42" t="n"/>
      <c r="H62" s="42" t="n"/>
      <c r="I62" s="40">
        <f>(IF(E62="x",(B62+50)/1000,0)+IF(F62="x",(B62+50)/1000,0)+IF(G62="x",(C62+50)/1000,0)+IF(H62="x",(C62+50)/1000,0))*D62</f>
        <v/>
      </c>
      <c r="J62" s="137" t="n"/>
      <c r="K62" s="138" t="n"/>
      <c r="L62" s="139" t="n"/>
      <c r="M62" s="137" t="n"/>
      <c r="N62" s="138" t="n"/>
      <c r="O62" s="139" t="n"/>
      <c r="P62" s="137" t="n"/>
      <c r="Q62" s="138" t="n"/>
      <c r="R62" s="139" t="n"/>
    </row>
    <row r="63" ht="19.5" customHeight="1" thickBot="1">
      <c r="A63" s="2" t="n"/>
      <c r="B63" s="4" t="n"/>
      <c r="C63" s="4" t="n"/>
      <c r="D63" s="6" t="n"/>
      <c r="E63" s="42" t="n"/>
      <c r="F63" s="42" t="n"/>
      <c r="G63" s="42" t="n"/>
      <c r="H63" s="42" t="n"/>
      <c r="I63" s="40">
        <f>(IF(E63="x",(B63+50)/1000,0)+IF(F63="x",(B63+50)/1000,0)+IF(G63="x",(C63+50)/1000,0)+IF(H63="x",(C63+50)/1000,0))*D63</f>
        <v/>
      </c>
      <c r="J63" s="137" t="n"/>
      <c r="K63" s="138" t="n"/>
      <c r="L63" s="139" t="n"/>
      <c r="M63" s="140" t="n"/>
      <c r="N63" s="141" t="n"/>
      <c r="O63" s="142" t="n"/>
      <c r="P63" s="50" t="n"/>
      <c r="Q63" s="141" t="n"/>
      <c r="R63" s="142" t="n"/>
    </row>
    <row r="64" ht="19.5" customHeight="1" thickBot="1">
      <c r="A64" s="2" t="n"/>
      <c r="B64" s="4" t="n"/>
      <c r="C64" s="4" t="n"/>
      <c r="D64" s="6" t="n"/>
      <c r="E64" s="42" t="n"/>
      <c r="F64" s="42" t="n"/>
      <c r="G64" s="42" t="n"/>
      <c r="H64" s="42" t="n"/>
      <c r="I64" s="40">
        <f>(IF(E64="x",(B64+50)/1000,0)+IF(F64="x",(B64+50)/1000,0)+IF(G64="x",(C64+50)/1000,0)+IF(H64="x",(C64+50)/1000,0))*D64</f>
        <v/>
      </c>
      <c r="J64" s="137" t="n"/>
      <c r="K64" s="138" t="n"/>
      <c r="L64" s="139" t="n"/>
      <c r="M64" s="140" t="n"/>
      <c r="N64" s="141" t="n"/>
      <c r="O64" s="142" t="n"/>
      <c r="P64" s="50" t="n"/>
      <c r="Q64" s="141" t="n"/>
      <c r="R64" s="142" t="n"/>
    </row>
    <row r="65" ht="19.5" customHeight="1" thickBot="1">
      <c r="A65" s="2" t="n"/>
      <c r="B65" s="4" t="n"/>
      <c r="C65" s="4" t="n"/>
      <c r="D65" s="6" t="n"/>
      <c r="E65" s="42" t="n"/>
      <c r="F65" s="42" t="n"/>
      <c r="G65" s="42" t="n"/>
      <c r="H65" s="42" t="n"/>
      <c r="I65" s="40">
        <f>(IF(E65="x",(B65+50)/1000,0)+IF(F65="x",(B65+50)/1000,0)+IF(G65="x",(C65+50)/1000,0)+IF(H65="x",(C65+50)/1000,0))*D65</f>
        <v/>
      </c>
      <c r="J65" s="48" t="n"/>
      <c r="K65" s="141" t="n"/>
      <c r="L65" s="141" t="n"/>
      <c r="M65" s="140" t="n"/>
      <c r="N65" s="141" t="n"/>
      <c r="O65" s="142" t="n"/>
      <c r="P65" s="50" t="n"/>
      <c r="Q65" s="141" t="n"/>
      <c r="R65" s="142" t="n"/>
    </row>
    <row r="66" ht="19.5" customHeight="1" thickBot="1">
      <c r="A66" s="2" t="n"/>
      <c r="B66" s="4" t="n"/>
      <c r="C66" s="4" t="n"/>
      <c r="D66" s="6" t="n"/>
      <c r="E66" s="42" t="n"/>
      <c r="F66" s="42" t="n"/>
      <c r="G66" s="42" t="n"/>
      <c r="H66" s="42" t="n"/>
      <c r="I66" s="40">
        <f>(IF(E66="x",(B66+50)/1000,0)+IF(F66="x",(B66+50)/1000,0)+IF(G66="x",(C66+50)/1000,0)+IF(H66="x",(C66+50)/1000,0))*D66</f>
        <v/>
      </c>
      <c r="J66" s="137" t="n"/>
      <c r="K66" s="138" t="n"/>
      <c r="L66" s="139" t="n"/>
      <c r="M66" s="137" t="n"/>
      <c r="N66" s="138" t="n"/>
      <c r="O66" s="139" t="n"/>
      <c r="P66" s="137" t="n"/>
      <c r="Q66" s="138" t="n"/>
      <c r="R66" s="139" t="n"/>
    </row>
    <row r="67" ht="19.5" customHeight="1" thickBot="1">
      <c r="A67" s="2" t="n"/>
      <c r="B67" s="4" t="n"/>
      <c r="C67" s="4" t="n"/>
      <c r="D67" s="6" t="n"/>
      <c r="E67" s="42" t="n"/>
      <c r="F67" s="42" t="n"/>
      <c r="G67" s="42" t="n"/>
      <c r="H67" s="42" t="n"/>
      <c r="I67" s="40">
        <f>(IF(E67="x",(B67+50)/1000,0)+IF(F67="x",(B67+50)/1000,0)+IF(G67="x",(C67+50)/1000,0)+IF(H67="x",(C67+50)/1000,0))*D67</f>
        <v/>
      </c>
      <c r="J67" s="137" t="n"/>
      <c r="K67" s="138" t="n"/>
      <c r="L67" s="139" t="n"/>
      <c r="M67" s="137" t="n"/>
      <c r="N67" s="138" t="n"/>
      <c r="O67" s="139" t="n"/>
      <c r="P67" s="137" t="n"/>
      <c r="Q67" s="138" t="n"/>
      <c r="R67" s="139" t="n"/>
    </row>
    <row r="68" ht="19.5" customHeight="1" thickBot="1">
      <c r="A68" s="2" t="n"/>
      <c r="B68" s="4" t="n"/>
      <c r="C68" s="4" t="n"/>
      <c r="D68" s="6" t="n"/>
      <c r="E68" s="42" t="n"/>
      <c r="F68" s="42" t="n"/>
      <c r="G68" s="42" t="n"/>
      <c r="H68" s="42" t="n"/>
      <c r="I68" s="40">
        <f>(IF(E68="x",(B68+50)/1000,0)+IF(F68="x",(B68+50)/1000,0)+IF(G68="x",(C68+50)/1000,0)+IF(H68="x",(C68+50)/1000,0))*D68</f>
        <v/>
      </c>
      <c r="J68" s="48" t="n"/>
      <c r="K68" s="141" t="n"/>
      <c r="L68" s="141" t="n"/>
      <c r="M68" s="140" t="n"/>
      <c r="N68" s="141" t="n"/>
      <c r="O68" s="142" t="n"/>
      <c r="P68" s="50" t="n"/>
      <c r="Q68" s="141" t="n"/>
      <c r="R68" s="142" t="n"/>
    </row>
    <row r="69" ht="19.5" customHeight="1" thickBot="1">
      <c r="A69" s="2" t="n"/>
      <c r="B69" s="4" t="n"/>
      <c r="C69" s="4" t="n"/>
      <c r="D69" s="6" t="n"/>
      <c r="E69" s="42" t="n"/>
      <c r="F69" s="42" t="n"/>
      <c r="G69" s="42" t="n"/>
      <c r="H69" s="42" t="n"/>
      <c r="I69" s="40">
        <f>(IF(E69="x",(B69+50)/1000,0)+IF(F69="x",(B69+50)/1000,0)+IF(G69="x",(C69+50)/1000,0)+IF(H69="x",(C69+50)/1000,0))*D69</f>
        <v/>
      </c>
      <c r="J69" s="48" t="n"/>
      <c r="K69" s="141" t="n"/>
      <c r="L69" s="141" t="n"/>
      <c r="M69" s="140" t="n"/>
      <c r="N69" s="141" t="n"/>
      <c r="O69" s="142" t="n"/>
      <c r="P69" s="50" t="n"/>
      <c r="Q69" s="141" t="n"/>
      <c r="R69" s="142" t="n"/>
    </row>
    <row r="70" ht="19.5" customHeight="1" thickBot="1">
      <c r="A70" s="2" t="n"/>
      <c r="B70" s="4" t="n"/>
      <c r="C70" s="4" t="n"/>
      <c r="D70" s="6" t="n"/>
      <c r="E70" s="42" t="n"/>
      <c r="F70" s="42" t="n"/>
      <c r="G70" s="42" t="n"/>
      <c r="H70" s="42" t="n"/>
      <c r="I70" s="40">
        <f>(IF(E70="x",(B70+50)/1000,0)+IF(F70="x",(B70+50)/1000,0)+IF(G70="x",(C70+50)/1000,0)+IF(H70="x",(C70+50)/1000,0))*D70</f>
        <v/>
      </c>
      <c r="J70" s="48" t="n"/>
      <c r="K70" s="141" t="n"/>
      <c r="L70" s="141" t="n"/>
      <c r="M70" s="140" t="n"/>
      <c r="N70" s="141" t="n"/>
      <c r="O70" s="142" t="n"/>
      <c r="P70" s="50" t="n"/>
      <c r="Q70" s="141" t="n"/>
      <c r="R70" s="142" t="n"/>
    </row>
    <row r="71" ht="19.5" customHeight="1" thickBot="1">
      <c r="A71" s="2" t="n"/>
      <c r="B71" s="4" t="n"/>
      <c r="C71" s="4" t="n"/>
      <c r="D71" s="6" t="n"/>
      <c r="E71" s="42" t="n"/>
      <c r="F71" s="42" t="n"/>
      <c r="G71" s="42" t="n"/>
      <c r="H71" s="42" t="n"/>
      <c r="I71" s="40">
        <f>(IF(E71="x",(B71+50)/1000,0)+IF(F71="x",(B71+50)/1000,0)+IF(G71="x",(C71+50)/1000,0)+IF(H71="x",(C71+50)/1000,0))*D71</f>
        <v/>
      </c>
      <c r="J71" s="137" t="n"/>
      <c r="K71" s="138" t="n"/>
      <c r="L71" s="139" t="n"/>
      <c r="M71" s="137" t="n"/>
      <c r="N71" s="138" t="n"/>
      <c r="O71" s="139" t="n"/>
      <c r="P71" s="137" t="n"/>
      <c r="Q71" s="138" t="n"/>
      <c r="R71" s="139" t="n"/>
    </row>
    <row r="72" ht="19.5" customHeight="1" thickBot="1">
      <c r="A72" s="2" t="n"/>
      <c r="B72" s="4" t="n"/>
      <c r="C72" s="4" t="n"/>
      <c r="D72" s="6" t="n"/>
      <c r="E72" s="42" t="n"/>
      <c r="F72" s="42" t="n"/>
      <c r="G72" s="42" t="n"/>
      <c r="H72" s="42" t="n"/>
      <c r="I72" s="40">
        <f>(IF(E72="x",(B72+50)/1000,0)+IF(F72="x",(B72+50)/1000,0)+IF(G72="x",(C72+50)/1000,0)+IF(H72="x",(C72+50)/1000,0))*D72</f>
        <v/>
      </c>
      <c r="J72" s="137" t="n"/>
      <c r="K72" s="138" t="n"/>
      <c r="L72" s="139" t="n"/>
      <c r="M72" s="137" t="n"/>
      <c r="N72" s="138" t="n"/>
      <c r="O72" s="139" t="n"/>
      <c r="P72" s="137" t="n"/>
      <c r="Q72" s="138" t="n"/>
      <c r="R72" s="139" t="n"/>
    </row>
    <row r="73" ht="19.5" customHeight="1" thickBot="1">
      <c r="A73" s="6" t="n"/>
      <c r="B73" s="4" t="n"/>
      <c r="C73" s="4" t="n"/>
      <c r="D73" s="6" t="n"/>
      <c r="E73" s="42" t="n"/>
      <c r="F73" s="42" t="n"/>
      <c r="G73" s="42" t="n"/>
      <c r="H73" s="42" t="n"/>
      <c r="I73" s="40">
        <f>(IF(E73="x",(B73+50)/1000,0)+IF(F73="x",(B73+50)/1000,0)+IF(G73="x",(C73+50)/1000,0)+IF(H73="x",(C73+50)/1000,0))*D73</f>
        <v/>
      </c>
      <c r="J73" s="137" t="n"/>
      <c r="K73" s="138" t="n"/>
      <c r="L73" s="139" t="n"/>
      <c r="M73" s="137" t="n"/>
      <c r="N73" s="138" t="n"/>
      <c r="O73" s="139" t="n"/>
      <c r="P73" s="137" t="n"/>
      <c r="Q73" s="138" t="n"/>
      <c r="R73" s="139" t="n"/>
    </row>
    <row r="74" ht="19.5" customHeight="1" thickBot="1">
      <c r="A74" s="6" t="n"/>
      <c r="B74" s="4" t="n"/>
      <c r="C74" s="4" t="n"/>
      <c r="D74" s="6" t="n"/>
      <c r="E74" s="42" t="n"/>
      <c r="F74" s="42" t="n"/>
      <c r="G74" s="42" t="n"/>
      <c r="H74" s="42" t="n"/>
      <c r="I74" s="40">
        <f>(IF(E74="x",(B74+50)/1000,0)+IF(F74="x",(B74+50)/1000,0)+IF(G74="x",(C74+50)/1000,0)+IF(H74="x",(C74+50)/1000,0))*D74</f>
        <v/>
      </c>
      <c r="J74" s="137" t="n"/>
      <c r="K74" s="138" t="n"/>
      <c r="L74" s="139" t="n"/>
      <c r="M74" s="137" t="n"/>
      <c r="N74" s="138" t="n"/>
      <c r="O74" s="139" t="n"/>
      <c r="P74" s="137" t="n"/>
      <c r="Q74" s="138" t="n"/>
      <c r="R74" s="139" t="n"/>
    </row>
    <row r="75" ht="19.5" customHeight="1" thickBot="1">
      <c r="A75" s="6" t="n"/>
      <c r="B75" s="4" t="n"/>
      <c r="C75" s="4" t="n"/>
      <c r="D75" s="6" t="n"/>
      <c r="E75" s="42" t="n"/>
      <c r="F75" s="42" t="n"/>
      <c r="G75" s="42" t="n"/>
      <c r="H75" s="42" t="n"/>
      <c r="I75" s="40">
        <f>(IF(E75="x",(B75+50)/1000,0)+IF(F75="x",(B75+50)/1000,0)+IF(G75="x",(C75+50)/1000,0)+IF(H75="x",(C75+50)/1000,0))*D75</f>
        <v/>
      </c>
      <c r="J75" s="48" t="n"/>
      <c r="K75" s="141" t="n"/>
      <c r="L75" s="141" t="n"/>
      <c r="M75" s="140" t="n"/>
      <c r="N75" s="141" t="n"/>
      <c r="O75" s="142" t="n"/>
      <c r="P75" s="50" t="n"/>
      <c r="Q75" s="141" t="n"/>
      <c r="R75" s="142" t="n"/>
    </row>
    <row r="76" ht="19.5" customHeight="1" thickBot="1">
      <c r="A76" s="6" t="n"/>
      <c r="B76" s="4" t="n"/>
      <c r="C76" s="4" t="n"/>
      <c r="D76" s="6" t="n"/>
      <c r="E76" s="42" t="n"/>
      <c r="F76" s="42" t="n"/>
      <c r="G76" s="42" t="n"/>
      <c r="H76" s="42" t="n"/>
      <c r="I76" s="40">
        <f>(IF(E76="x",(B76+50)/1000,0)+IF(F76="x",(B76+50)/1000,0)+IF(G76="x",(C76+50)/1000,0)+IF(H76="x",(C76+50)/1000,0))*D76</f>
        <v/>
      </c>
      <c r="J76" s="48" t="n"/>
      <c r="K76" s="141" t="n"/>
      <c r="L76" s="141" t="n"/>
      <c r="M76" s="140" t="n"/>
      <c r="N76" s="141" t="n"/>
      <c r="O76" s="142" t="n"/>
      <c r="P76" s="50" t="n"/>
      <c r="Q76" s="141" t="n"/>
      <c r="R76" s="142" t="n"/>
    </row>
    <row r="77" ht="19.5" customHeight="1" thickBot="1">
      <c r="A77" s="6" t="n"/>
      <c r="B77" s="4" t="n"/>
      <c r="C77" s="4" t="n"/>
      <c r="D77" s="6" t="n"/>
      <c r="E77" s="42" t="n"/>
      <c r="F77" s="42" t="n"/>
      <c r="G77" s="42" t="n"/>
      <c r="H77" s="42" t="n"/>
      <c r="I77" s="40">
        <f>(IF(E77="x",(B77+50)/1000,0)+IF(F77="x",(B77+50)/1000,0)+IF(G77="x",(C77+50)/1000,0)+IF(H77="x",(C77+50)/1000,0))*D77</f>
        <v/>
      </c>
      <c r="J77" s="48" t="n"/>
      <c r="K77" s="141" t="n"/>
      <c r="L77" s="141" t="n"/>
      <c r="M77" s="140" t="n"/>
      <c r="N77" s="141" t="n"/>
      <c r="O77" s="142" t="n"/>
      <c r="P77" s="50" t="n"/>
      <c r="Q77" s="141" t="n"/>
      <c r="R77" s="142" t="n"/>
    </row>
    <row r="78" ht="19.5" customHeight="1" thickBot="1">
      <c r="A78" s="6" t="n"/>
      <c r="B78" s="4" t="n"/>
      <c r="C78" s="4" t="n"/>
      <c r="D78" s="6" t="n"/>
      <c r="E78" s="42" t="n"/>
      <c r="F78" s="42" t="n"/>
      <c r="G78" s="42" t="n"/>
      <c r="H78" s="42" t="n"/>
      <c r="I78" s="40">
        <f>(IF(E78="x",(B78+50)/1000,0)+IF(F78="x",(B78+50)/1000,0)+IF(G78="x",(C78+50)/1000,0)+IF(H78="x",(C78+50)/1000,0))*D78</f>
        <v/>
      </c>
      <c r="J78" s="137" t="n"/>
      <c r="K78" s="138" t="n"/>
      <c r="L78" s="139" t="n"/>
      <c r="M78" s="137" t="n"/>
      <c r="N78" s="138" t="n"/>
      <c r="O78" s="139" t="n"/>
      <c r="P78" s="137" t="n"/>
      <c r="Q78" s="138" t="n"/>
      <c r="R78" s="139" t="n"/>
    </row>
    <row r="79" ht="19.5" customHeight="1" thickBot="1">
      <c r="A79" s="6" t="n"/>
      <c r="B79" s="4" t="n"/>
      <c r="C79" s="4" t="n"/>
      <c r="D79" s="6" t="n"/>
      <c r="E79" s="42" t="n"/>
      <c r="F79" s="42" t="n"/>
      <c r="G79" s="42" t="n"/>
      <c r="H79" s="42" t="n"/>
      <c r="I79" s="40">
        <f>(IF(E79="x",(B79+50)/1000,0)+IF(F79="x",(B79+50)/1000,0)+IF(G79="x",(C79+50)/1000,0)+IF(H79="x",(C79+50)/1000,0))*D79</f>
        <v/>
      </c>
      <c r="J79" s="48" t="n"/>
      <c r="K79" s="141" t="n"/>
      <c r="L79" s="141" t="n"/>
      <c r="M79" s="140" t="n"/>
      <c r="N79" s="141" t="n"/>
      <c r="O79" s="142" t="n"/>
      <c r="P79" s="50" t="n"/>
      <c r="Q79" s="141" t="n"/>
      <c r="R79" s="142" t="n"/>
    </row>
    <row r="80" ht="19.5" customHeight="1" thickBot="1">
      <c r="A80" s="6" t="n"/>
      <c r="B80" s="4" t="n"/>
      <c r="C80" s="4" t="n"/>
      <c r="D80" s="6" t="n"/>
      <c r="E80" s="42" t="n"/>
      <c r="F80" s="42" t="n"/>
      <c r="G80" s="42" t="n"/>
      <c r="H80" s="42" t="n"/>
      <c r="I80" s="40">
        <f>(IF(E80="x",(B80+50)/1000,0)+IF(F80="x",(B80+50)/1000,0)+IF(G80="x",(C80+50)/1000,0)+IF(H80="x",(C80+50)/1000,0))*D80</f>
        <v/>
      </c>
      <c r="J80" s="48" t="n"/>
      <c r="K80" s="141" t="n"/>
      <c r="L80" s="141" t="n"/>
      <c r="M80" s="140" t="n"/>
      <c r="N80" s="141" t="n"/>
      <c r="O80" s="142" t="n"/>
      <c r="P80" s="50" t="n"/>
      <c r="Q80" s="141" t="n"/>
      <c r="R80" s="142" t="n"/>
    </row>
    <row r="81" ht="19.5" customHeight="1" thickBot="1">
      <c r="A81" s="7" t="n"/>
      <c r="B81" s="8" t="n"/>
      <c r="C81" s="8" t="n"/>
      <c r="D81" s="7" t="n"/>
      <c r="E81" s="42" t="n"/>
      <c r="F81" s="42" t="n"/>
      <c r="G81" s="42" t="n"/>
      <c r="H81" s="42" t="n"/>
      <c r="I81" s="40">
        <f>(IF(E81="x",(B81+50)/1000,0)+IF(F81="x",(B81+50)/1000,0)+IF(G81="x",(C81+50)/1000,0)+IF(H81="x",(C81+50)/1000,0))*D81</f>
        <v/>
      </c>
      <c r="J81" s="45" t="n"/>
      <c r="K81" s="138" t="n"/>
      <c r="L81" s="138" t="n"/>
      <c r="M81" s="137" t="n"/>
      <c r="N81" s="138" t="n"/>
      <c r="O81" s="139" t="n"/>
      <c r="P81" s="47" t="n"/>
      <c r="Q81" s="138" t="n"/>
      <c r="R81" s="139" t="n"/>
    </row>
    <row r="82">
      <c r="E82" s="84" t="inlineStr">
        <is>
          <t>Total de chant</t>
        </is>
      </c>
      <c r="H82" s="124" t="n"/>
      <c r="I82" s="143">
        <f>SUM(I17:I81)</f>
        <v/>
      </c>
    </row>
    <row r="83">
      <c r="E83" s="130" t="n"/>
      <c r="H83" s="124" t="n"/>
      <c r="I83" s="131" t="n"/>
    </row>
    <row r="84" ht="19.5" customHeight="1" thickBot="1">
      <c r="E84" s="133" t="n"/>
      <c r="F84" s="135" t="n"/>
      <c r="G84" s="135" t="n"/>
      <c r="H84" s="136" t="n"/>
      <c r="I84" s="134" t="n"/>
    </row>
  </sheetData>
  <mergeCells count="224">
    <mergeCell ref="P52:R52"/>
    <mergeCell ref="P49:R49"/>
    <mergeCell ref="P27:R27"/>
    <mergeCell ref="J74:L74"/>
    <mergeCell ref="P36:R36"/>
    <mergeCell ref="J27:L27"/>
    <mergeCell ref="I4:L4"/>
    <mergeCell ref="M40:O40"/>
    <mergeCell ref="J35:L35"/>
    <mergeCell ref="P17:R17"/>
    <mergeCell ref="P77:R77"/>
    <mergeCell ref="M81:O81"/>
    <mergeCell ref="I8:J9"/>
    <mergeCell ref="A8:B9"/>
    <mergeCell ref="M21:O21"/>
    <mergeCell ref="J25:L25"/>
    <mergeCell ref="P19:R19"/>
    <mergeCell ref="P75:R75"/>
    <mergeCell ref="J66:L66"/>
    <mergeCell ref="P28:R28"/>
    <mergeCell ref="J75:L75"/>
    <mergeCell ref="P37:R37"/>
    <mergeCell ref="M41:O41"/>
    <mergeCell ref="J50:L50"/>
    <mergeCell ref="M24:O24"/>
    <mergeCell ref="M76:O76"/>
    <mergeCell ref="B13:B16"/>
    <mergeCell ref="P30:R30"/>
    <mergeCell ref="J46:L46"/>
    <mergeCell ref="D13:D16"/>
    <mergeCell ref="P62:R62"/>
    <mergeCell ref="K8:N9"/>
    <mergeCell ref="M66:O66"/>
    <mergeCell ref="C8:F9"/>
    <mergeCell ref="J52:L52"/>
    <mergeCell ref="J61:L61"/>
    <mergeCell ref="P54:R54"/>
    <mergeCell ref="M53:O53"/>
    <mergeCell ref="J39:L39"/>
    <mergeCell ref="M78:O78"/>
    <mergeCell ref="J48:L48"/>
    <mergeCell ref="C10:F10"/>
    <mergeCell ref="P55:R55"/>
    <mergeCell ref="B2:Q2"/>
    <mergeCell ref="P38:R38"/>
    <mergeCell ref="J72:L72"/>
    <mergeCell ref="M68:O68"/>
    <mergeCell ref="J29:L29"/>
    <mergeCell ref="J81:L81"/>
    <mergeCell ref="J38:L38"/>
    <mergeCell ref="M55:O55"/>
    <mergeCell ref="M52:O52"/>
    <mergeCell ref="M67:O67"/>
    <mergeCell ref="M39:O39"/>
    <mergeCell ref="P40:R40"/>
    <mergeCell ref="J40:L40"/>
    <mergeCell ref="P13:R16"/>
    <mergeCell ref="M20:O20"/>
    <mergeCell ref="P81:R81"/>
    <mergeCell ref="M69:O69"/>
    <mergeCell ref="J24:L24"/>
    <mergeCell ref="J80:L80"/>
    <mergeCell ref="AD8:AE8"/>
    <mergeCell ref="P65:R65"/>
    <mergeCell ref="J65:L65"/>
    <mergeCell ref="M22:O22"/>
    <mergeCell ref="J70:L70"/>
    <mergeCell ref="M31:O31"/>
    <mergeCell ref="P67:R67"/>
    <mergeCell ref="J79:L79"/>
    <mergeCell ref="M75:O75"/>
    <mergeCell ref="J26:L26"/>
    <mergeCell ref="M28:O28"/>
    <mergeCell ref="J63:L63"/>
    <mergeCell ref="M80:O80"/>
    <mergeCell ref="J41:L41"/>
    <mergeCell ref="M37:O37"/>
    <mergeCell ref="P57:R57"/>
    <mergeCell ref="P66:R66"/>
    <mergeCell ref="P18:R18"/>
    <mergeCell ref="P53:R53"/>
    <mergeCell ref="M26:O26"/>
    <mergeCell ref="J43:L43"/>
    <mergeCell ref="M57:O57"/>
    <mergeCell ref="M72:O72"/>
    <mergeCell ref="P68:R68"/>
    <mergeCell ref="M29:O29"/>
    <mergeCell ref="E14:H14"/>
    <mergeCell ref="M23:O23"/>
    <mergeCell ref="M38:O38"/>
    <mergeCell ref="J33:L33"/>
    <mergeCell ref="J42:L42"/>
    <mergeCell ref="M56:O56"/>
    <mergeCell ref="M71:O71"/>
    <mergeCell ref="P45:R45"/>
    <mergeCell ref="M43:O43"/>
    <mergeCell ref="M58:O58"/>
    <mergeCell ref="G8:H9"/>
    <mergeCell ref="J44:L44"/>
    <mergeCell ref="P20:R20"/>
    <mergeCell ref="J67:L67"/>
    <mergeCell ref="P29:R29"/>
    <mergeCell ref="J28:L28"/>
    <mergeCell ref="I10:J10"/>
    <mergeCell ref="M13:O16"/>
    <mergeCell ref="J37:L37"/>
    <mergeCell ref="P44:R44"/>
    <mergeCell ref="J60:L60"/>
    <mergeCell ref="P22:R22"/>
    <mergeCell ref="A10:B10"/>
    <mergeCell ref="M70:O70"/>
    <mergeCell ref="J69:L69"/>
    <mergeCell ref="P31:R31"/>
    <mergeCell ref="J78:L78"/>
    <mergeCell ref="M35:O35"/>
    <mergeCell ref="J30:L30"/>
    <mergeCell ref="N4:O4"/>
    <mergeCell ref="J53:L53"/>
    <mergeCell ref="P72:R72"/>
    <mergeCell ref="P21:R21"/>
    <mergeCell ref="P80:R80"/>
    <mergeCell ref="P70:R70"/>
    <mergeCell ref="J55:L55"/>
    <mergeCell ref="P48:R48"/>
    <mergeCell ref="M25:O25"/>
    <mergeCell ref="P23:R23"/>
    <mergeCell ref="M30:O30"/>
    <mergeCell ref="M77:O77"/>
    <mergeCell ref="J54:L54"/>
    <mergeCell ref="M46:O46"/>
    <mergeCell ref="J32:L32"/>
    <mergeCell ref="M33:O33"/>
    <mergeCell ref="M42:O42"/>
    <mergeCell ref="M17:O17"/>
    <mergeCell ref="M61:O61"/>
    <mergeCell ref="J13:L16"/>
    <mergeCell ref="J47:L47"/>
    <mergeCell ref="P43:R43"/>
    <mergeCell ref="J56:L56"/>
    <mergeCell ref="M62:O62"/>
    <mergeCell ref="Q4:R4"/>
    <mergeCell ref="J71:L71"/>
    <mergeCell ref="P33:R33"/>
    <mergeCell ref="M19:O19"/>
    <mergeCell ref="M32:O32"/>
    <mergeCell ref="P42:R42"/>
    <mergeCell ref="J18:L18"/>
    <mergeCell ref="J76:L76"/>
    <mergeCell ref="J58:L58"/>
    <mergeCell ref="E82:H84"/>
    <mergeCell ref="P74:R74"/>
    <mergeCell ref="J17:L17"/>
    <mergeCell ref="J73:L73"/>
    <mergeCell ref="P35:R35"/>
    <mergeCell ref="M44:O44"/>
    <mergeCell ref="A13:A16"/>
    <mergeCell ref="M59:O59"/>
    <mergeCell ref="C13:C16"/>
    <mergeCell ref="J57:L57"/>
    <mergeCell ref="P25:R25"/>
    <mergeCell ref="P76:R76"/>
    <mergeCell ref="J19:L19"/>
    <mergeCell ref="J59:L59"/>
    <mergeCell ref="P60:R60"/>
    <mergeCell ref="C4:E4"/>
    <mergeCell ref="E15:H15"/>
    <mergeCell ref="P69:R69"/>
    <mergeCell ref="M79:O79"/>
    <mergeCell ref="M73:O73"/>
    <mergeCell ref="J34:L34"/>
    <mergeCell ref="M51:O51"/>
    <mergeCell ref="A6:R6"/>
    <mergeCell ref="J68:L68"/>
    <mergeCell ref="M60:O60"/>
    <mergeCell ref="P59:R59"/>
    <mergeCell ref="J49:L49"/>
    <mergeCell ref="M54:O54"/>
    <mergeCell ref="P46:R46"/>
    <mergeCell ref="J36:L36"/>
    <mergeCell ref="J45:L45"/>
    <mergeCell ref="I82:I84"/>
    <mergeCell ref="M65:O65"/>
    <mergeCell ref="P61:R61"/>
    <mergeCell ref="J20:L20"/>
    <mergeCell ref="M74:O74"/>
    <mergeCell ref="P39:R39"/>
    <mergeCell ref="M27:O27"/>
    <mergeCell ref="P32:R32"/>
    <mergeCell ref="M36:O36"/>
    <mergeCell ref="J22:L22"/>
    <mergeCell ref="M18:O18"/>
    <mergeCell ref="G10:H10"/>
    <mergeCell ref="M45:O45"/>
    <mergeCell ref="J31:L31"/>
    <mergeCell ref="P78:R78"/>
    <mergeCell ref="P47:R47"/>
    <mergeCell ref="J21:L21"/>
    <mergeCell ref="J51:L51"/>
    <mergeCell ref="M47:O47"/>
    <mergeCell ref="P71:R71"/>
    <mergeCell ref="J62:L62"/>
    <mergeCell ref="M63:O63"/>
    <mergeCell ref="P24:R24"/>
    <mergeCell ref="P58:R58"/>
    <mergeCell ref="M50:O50"/>
    <mergeCell ref="J23:L23"/>
    <mergeCell ref="F4:H4"/>
    <mergeCell ref="P64:R64"/>
    <mergeCell ref="P79:R79"/>
    <mergeCell ref="P73:R73"/>
    <mergeCell ref="M34:O34"/>
    <mergeCell ref="J64:L64"/>
    <mergeCell ref="P26:R26"/>
    <mergeCell ref="P51:R51"/>
    <mergeCell ref="I13:I16"/>
    <mergeCell ref="P63:R63"/>
    <mergeCell ref="M49:O49"/>
    <mergeCell ref="P41:R41"/>
    <mergeCell ref="P50:R50"/>
    <mergeCell ref="M48:O48"/>
    <mergeCell ref="P56:R56"/>
    <mergeCell ref="P34:R34"/>
    <mergeCell ref="M64:O64"/>
    <mergeCell ref="J77:L77"/>
  </mergeCells>
  <printOptions horizontalCentered="1" verticalCentered="1"/>
  <pageMargins left="0.25" right="0.25" top="0.75" bottom="0.75" header="0.3" footer="0.3"/>
  <pageSetup orientation="portrait" paperSize="9" scale="43"/>
  <headerFooter>
    <oddHeader/>
    <oddFooter>&amp;L&amp;"-,Gras"&amp;EMerci de nous renvoyer la feuille commerciale et les feuilles de débit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B2:V71"/>
  <sheetViews>
    <sheetView topLeftCell="A44" zoomScale="70" zoomScaleNormal="70" workbookViewId="0">
      <selection activeCell="B98" sqref="B98"/>
    </sheetView>
  </sheetViews>
  <sheetFormatPr baseColWidth="8" defaultColWidth="10.76171875" defaultRowHeight="15"/>
  <cols>
    <col width="21.5234375" customWidth="1" min="2" max="2"/>
    <col width="25.55859375" bestFit="1" customWidth="1" min="3" max="3"/>
    <col width="18.96484375" bestFit="1" customWidth="1" min="12" max="12"/>
    <col width="12.64453125" customWidth="1" min="13" max="16"/>
    <col width="18.5625" customWidth="1" min="17" max="17"/>
    <col width="12.64453125" customWidth="1" min="18" max="18"/>
    <col width="15.73828125" customWidth="1" min="20" max="20"/>
    <col width="32.015625" customWidth="1" min="21" max="21"/>
  </cols>
  <sheetData>
    <row r="1" ht="15.75" customHeight="1" thickBot="1"/>
    <row r="2">
      <c r="B2" s="20" t="inlineStr">
        <is>
          <t>Piece</t>
        </is>
      </c>
      <c r="C2" s="17" t="inlineStr">
        <is>
          <t>Panneaux</t>
        </is>
      </c>
      <c r="D2" s="18" t="inlineStr">
        <is>
          <t>Longueur</t>
        </is>
      </c>
      <c r="E2" s="18" t="inlineStr">
        <is>
          <t>Largeur</t>
        </is>
      </c>
      <c r="F2" s="18" t="inlineStr">
        <is>
          <t>Qté mini.</t>
        </is>
      </c>
      <c r="G2" s="18" t="inlineStr">
        <is>
          <t>Sens du fil</t>
        </is>
      </c>
      <c r="H2" s="18" t="inlineStr">
        <is>
          <t>Cht G</t>
        </is>
      </c>
      <c r="I2" s="18" t="inlineStr">
        <is>
          <t>Cht D</t>
        </is>
      </c>
      <c r="J2" s="18" t="inlineStr">
        <is>
          <t>Cht H</t>
        </is>
      </c>
      <c r="K2" s="18" t="inlineStr">
        <is>
          <t>Cht B</t>
        </is>
      </c>
      <c r="L2" s="18" t="inlineStr">
        <is>
          <t>graphique etiquette</t>
        </is>
      </c>
      <c r="M2" s="18" t="inlineStr">
        <is>
          <t>Client</t>
        </is>
      </c>
      <c r="N2" s="18" t="inlineStr">
        <is>
          <t>Ref/Salon</t>
        </is>
      </c>
      <c r="O2" s="18" t="inlineStr">
        <is>
          <t>Meuble</t>
        </is>
      </c>
      <c r="P2" s="18" t="inlineStr">
        <is>
          <t>Usinage</t>
        </is>
      </c>
      <c r="Q2" s="18" t="inlineStr">
        <is>
          <t>Information</t>
        </is>
      </c>
      <c r="R2" s="19" t="n"/>
      <c r="T2" s="10" t="inlineStr">
        <is>
          <t xml:space="preserve">chant </t>
        </is>
      </c>
      <c r="U2" s="10" t="inlineStr">
        <is>
          <t>chant cute rite</t>
        </is>
      </c>
      <c r="V2" s="10" t="inlineStr">
        <is>
          <t>FORMULE</t>
        </is>
      </c>
    </row>
    <row r="3">
      <c r="B3" s="15">
        <f>IF(D3="","",'calcul des chants'!A17)</f>
        <v/>
      </c>
      <c r="C3" s="12">
        <f>IF('calcul des chants'!B17&lt;&gt;"",'calcul des chants'!$A$10,"")</f>
        <v/>
      </c>
      <c r="D3" s="10">
        <f>IF(C3="","",'calcul des chants'!B17)</f>
        <v/>
      </c>
      <c r="E3" s="10">
        <f>IF(D3="","",'calcul des chants'!C17)</f>
        <v/>
      </c>
      <c r="F3" s="10">
        <f>IF(E3="","",'calcul des chants'!D17)</f>
        <v/>
      </c>
      <c r="G3" s="10" t="n"/>
      <c r="H3" s="10">
        <f>IF('calcul des chants'!E17=Optimisateur!$T$3,Optimisateur!$U$3,"")</f>
        <v/>
      </c>
      <c r="I3" s="14">
        <f>IF('calcul des chants'!F17=Optimisateur!$T$3,Optimisateur!$U$3,"")</f>
        <v/>
      </c>
      <c r="J3" s="10">
        <f>IF('calcul des chants'!G17=Optimisateur!$T$3,Optimisateur!$U$3,"")</f>
        <v/>
      </c>
      <c r="K3" s="10">
        <f>IF('calcul des chants'!H17=Optimisateur!$T$3,Optimisateur!$U$3,"")</f>
        <v/>
      </c>
      <c r="L3" s="13" t="n"/>
      <c r="M3" s="10">
        <f>IF(C3="","",'calcul des chants'!$C$4)</f>
        <v/>
      </c>
      <c r="N3" s="10">
        <f>IF(D3="","",'calcul des chants'!$I$4)</f>
        <v/>
      </c>
      <c r="O3" s="10">
        <f>IF(E3="","",'calcul des chants'!J17)</f>
        <v/>
      </c>
      <c r="P3" s="10">
        <f>IF(F3="","",'calcul des chants'!M17)</f>
        <v/>
      </c>
      <c r="Q3" s="10">
        <f>IF(G3="","",'calcul des chants'!P17)</f>
        <v/>
      </c>
      <c r="R3" s="16" t="n"/>
      <c r="T3" s="12" t="inlineStr">
        <is>
          <t>X</t>
        </is>
      </c>
      <c r="U3" s="12" t="inlineStr">
        <is>
          <t>PVC-23-1</t>
        </is>
      </c>
      <c r="V3" s="11" t="n"/>
    </row>
    <row r="4">
      <c r="B4" s="15">
        <f>IF(D4="","",'calcul des chants'!A18)</f>
        <v/>
      </c>
      <c r="C4" s="12">
        <f>IF('calcul des chants'!B18&lt;&gt;"",'calcul des chants'!$A$10,"")</f>
        <v/>
      </c>
      <c r="D4" s="10">
        <f>IF(C4="","",'calcul des chants'!B18)</f>
        <v/>
      </c>
      <c r="E4" s="10">
        <f>IF(D4="","",'calcul des chants'!C18)</f>
        <v/>
      </c>
      <c r="F4" s="10">
        <f>IF(E4="","",'calcul des chants'!D18)</f>
        <v/>
      </c>
      <c r="G4" s="10" t="n"/>
      <c r="H4" s="10">
        <f>IF('calcul des chants'!E18=Optimisateur!$T$3,Optimisateur!$U$3,"")</f>
        <v/>
      </c>
      <c r="I4" s="14">
        <f>IF('calcul des chants'!F18=Optimisateur!$T$3,Optimisateur!$U$3,"")</f>
        <v/>
      </c>
      <c r="J4" s="10">
        <f>IF('calcul des chants'!G18=Optimisateur!$T$3,Optimisateur!$U$3,"")</f>
        <v/>
      </c>
      <c r="K4" s="10">
        <f>IF('calcul des chants'!H18=Optimisateur!$T$3,Optimisateur!$U$3,"")</f>
        <v/>
      </c>
      <c r="L4" s="13" t="n"/>
      <c r="M4" s="10">
        <f>IF(C4="","",'calcul des chants'!$C$4)</f>
        <v/>
      </c>
      <c r="N4" s="10">
        <f>IF(D4="","",'calcul des chants'!$Z$4)</f>
        <v/>
      </c>
      <c r="O4" s="10">
        <f>IF(E4="","",'calcul des chants'!J18)</f>
        <v/>
      </c>
      <c r="P4" s="10">
        <f>IF(F4="","",'calcul des chants'!M18)</f>
        <v/>
      </c>
      <c r="Q4" s="10">
        <f>IF(G4="","",'calcul des chants'!P18)</f>
        <v/>
      </c>
      <c r="R4" s="16" t="n"/>
    </row>
    <row r="5">
      <c r="B5" s="15">
        <f>IF(D5="","",'calcul des chants'!A19)</f>
        <v/>
      </c>
      <c r="C5" s="12">
        <f>IF('calcul des chants'!B19&lt;&gt;"",'calcul des chants'!$A$10,"")</f>
        <v/>
      </c>
      <c r="D5" s="10">
        <f>IF(C5="","",'calcul des chants'!B19)</f>
        <v/>
      </c>
      <c r="E5" s="10">
        <f>IF(D5="","",'calcul des chants'!C19)</f>
        <v/>
      </c>
      <c r="F5" s="10">
        <f>IF(E5="","",'calcul des chants'!D19)</f>
        <v/>
      </c>
      <c r="G5" s="10" t="n"/>
      <c r="H5" s="10">
        <f>IF('calcul des chants'!E19=Optimisateur!$T$3,Optimisateur!$U$3,"")</f>
        <v/>
      </c>
      <c r="I5" s="14">
        <f>IF('calcul des chants'!F19=Optimisateur!$T$3,Optimisateur!$U$3,"")</f>
        <v/>
      </c>
      <c r="J5" s="10">
        <f>IF('calcul des chants'!G19=Optimisateur!$T$3,Optimisateur!$U$3,"")</f>
        <v/>
      </c>
      <c r="K5" s="10">
        <f>IF('calcul des chants'!H19=Optimisateur!$T$3,Optimisateur!$U$3,"")</f>
        <v/>
      </c>
      <c r="L5" s="13" t="n"/>
      <c r="M5" s="10">
        <f>IF(C5="","",'calcul des chants'!$C$4)</f>
        <v/>
      </c>
      <c r="N5" s="10">
        <f>IF(D5="","",'calcul des chants'!$Z$4)</f>
        <v/>
      </c>
      <c r="O5" s="10">
        <f>IF(E5="","",'calcul des chants'!J19)</f>
        <v/>
      </c>
      <c r="P5" s="10">
        <f>IF(F5="","",'calcul des chants'!M19)</f>
        <v/>
      </c>
      <c r="Q5" s="10">
        <f>IF(G5="","",'calcul des chants'!P19)</f>
        <v/>
      </c>
      <c r="R5" s="16" t="n"/>
    </row>
    <row r="6">
      <c r="B6" s="15">
        <f>IF(D6="","",'calcul des chants'!A20)</f>
        <v/>
      </c>
      <c r="C6" s="12">
        <f>IF('calcul des chants'!B20&lt;&gt;"",'calcul des chants'!$A$10,"")</f>
        <v/>
      </c>
      <c r="D6" s="10">
        <f>IF(C6="","",'calcul des chants'!B20)</f>
        <v/>
      </c>
      <c r="E6" s="10">
        <f>IF(D6="","",'calcul des chants'!C20)</f>
        <v/>
      </c>
      <c r="F6" s="10">
        <f>IF(E6="","",'calcul des chants'!D20)</f>
        <v/>
      </c>
      <c r="G6" s="10" t="n"/>
      <c r="H6" s="10">
        <f>IF('calcul des chants'!E20=Optimisateur!$T$3,Optimisateur!$U$3,"")</f>
        <v/>
      </c>
      <c r="I6" s="14">
        <f>IF('calcul des chants'!F20=Optimisateur!$T$3,Optimisateur!$U$3,"")</f>
        <v/>
      </c>
      <c r="J6" s="10">
        <f>IF('calcul des chants'!G20=Optimisateur!$T$3,Optimisateur!$U$3,"")</f>
        <v/>
      </c>
      <c r="K6" s="10">
        <f>IF('calcul des chants'!H20=Optimisateur!$T$3,Optimisateur!$U$3,"")</f>
        <v/>
      </c>
      <c r="L6" s="13" t="n"/>
      <c r="M6" s="10">
        <f>IF(C6="","",'calcul des chants'!$C$4)</f>
        <v/>
      </c>
      <c r="N6" s="10">
        <f>IF(D6="","",'calcul des chants'!$Z$4)</f>
        <v/>
      </c>
      <c r="O6" s="10">
        <f>IF(E6="","",'calcul des chants'!J20)</f>
        <v/>
      </c>
      <c r="P6" s="10">
        <f>IF(F6="","",'calcul des chants'!M20)</f>
        <v/>
      </c>
      <c r="Q6" s="10">
        <f>IF(G6="","",'calcul des chants'!P20)</f>
        <v/>
      </c>
      <c r="R6" s="16" t="n"/>
    </row>
    <row r="7">
      <c r="B7" s="15">
        <f>IF(D7="","",'calcul des chants'!A21)</f>
        <v/>
      </c>
      <c r="C7" s="12">
        <f>IF('calcul des chants'!B21&lt;&gt;"",'calcul des chants'!$A$10,"")</f>
        <v/>
      </c>
      <c r="D7" s="10">
        <f>IF(C7="","",'calcul des chants'!B21)</f>
        <v/>
      </c>
      <c r="E7" s="10">
        <f>IF(D7="","",'calcul des chants'!C21)</f>
        <v/>
      </c>
      <c r="F7" s="10">
        <f>IF(E7="","",'calcul des chants'!D21)</f>
        <v/>
      </c>
      <c r="G7" s="10" t="n"/>
      <c r="H7" s="10">
        <f>IF('calcul des chants'!E21=Optimisateur!$T$3,Optimisateur!$U$3,"")</f>
        <v/>
      </c>
      <c r="I7" s="14">
        <f>IF('calcul des chants'!F21=Optimisateur!$T$3,Optimisateur!$U$3,"")</f>
        <v/>
      </c>
      <c r="J7" s="10">
        <f>IF('calcul des chants'!G21=Optimisateur!$T$3,Optimisateur!$U$3,"")</f>
        <v/>
      </c>
      <c r="K7" s="10">
        <f>IF('calcul des chants'!H21=Optimisateur!$T$3,Optimisateur!$U$3,"")</f>
        <v/>
      </c>
      <c r="L7" s="13" t="n"/>
      <c r="M7" s="10">
        <f>IF(C7="","",'calcul des chants'!$C$4)</f>
        <v/>
      </c>
      <c r="N7" s="10">
        <f>IF(D7="","",'calcul des chants'!$Z$4)</f>
        <v/>
      </c>
      <c r="O7" s="10">
        <f>IF(E7="","",'calcul des chants'!J21)</f>
        <v/>
      </c>
      <c r="P7" s="10">
        <f>IF(F7="","",'calcul des chants'!M21)</f>
        <v/>
      </c>
      <c r="Q7" s="10">
        <f>IF(G7="","",'calcul des chants'!P21)</f>
        <v/>
      </c>
      <c r="R7" s="16" t="n"/>
    </row>
    <row r="8">
      <c r="B8" s="15">
        <f>IF(D8="","",'calcul des chants'!A22)</f>
        <v/>
      </c>
      <c r="C8" s="12">
        <f>IF('calcul des chants'!B22&lt;&gt;"",'calcul des chants'!$A$10,"")</f>
        <v/>
      </c>
      <c r="D8" s="10">
        <f>IF(C8="","",'calcul des chants'!B22)</f>
        <v/>
      </c>
      <c r="E8" s="10">
        <f>IF(D8="","",'calcul des chants'!C22)</f>
        <v/>
      </c>
      <c r="F8" s="10">
        <f>IF(E8="","",'calcul des chants'!D22)</f>
        <v/>
      </c>
      <c r="G8" s="10" t="n"/>
      <c r="H8" s="10">
        <f>IF('calcul des chants'!E22=Optimisateur!$T$3,Optimisateur!$U$3,"")</f>
        <v/>
      </c>
      <c r="I8" s="14">
        <f>IF('calcul des chants'!F22=Optimisateur!$T$3,Optimisateur!$U$3,"")</f>
        <v/>
      </c>
      <c r="J8" s="10">
        <f>IF('calcul des chants'!G22=Optimisateur!$T$3,Optimisateur!$U$3,"")</f>
        <v/>
      </c>
      <c r="K8" s="10">
        <f>IF('calcul des chants'!H22=Optimisateur!$T$3,Optimisateur!$U$3,"")</f>
        <v/>
      </c>
      <c r="L8" s="13" t="n"/>
      <c r="M8" s="10">
        <f>IF(C8="","",'calcul des chants'!$C$4)</f>
        <v/>
      </c>
      <c r="N8" s="10">
        <f>IF(D8="","",'calcul des chants'!$Z$4)</f>
        <v/>
      </c>
      <c r="O8" s="10">
        <f>IF(E8="","",'calcul des chants'!J22)</f>
        <v/>
      </c>
      <c r="P8" s="10">
        <f>IF(F8="","",'calcul des chants'!M22)</f>
        <v/>
      </c>
      <c r="Q8" s="10">
        <f>IF(G8="","",'calcul des chants'!P22)</f>
        <v/>
      </c>
      <c r="R8" s="16" t="n"/>
    </row>
    <row r="9">
      <c r="B9" s="15">
        <f>IF(D9="","",'calcul des chants'!A23)</f>
        <v/>
      </c>
      <c r="C9" s="12">
        <f>IF('calcul des chants'!B23&lt;&gt;"",'calcul des chants'!$A$10,"")</f>
        <v/>
      </c>
      <c r="D9" s="10">
        <f>IF(C9="","",'calcul des chants'!B23)</f>
        <v/>
      </c>
      <c r="E9" s="10">
        <f>IF(D9="","",'calcul des chants'!C23)</f>
        <v/>
      </c>
      <c r="F9" s="10">
        <f>IF(E9="","",'calcul des chants'!D23)</f>
        <v/>
      </c>
      <c r="G9" s="10" t="n"/>
      <c r="H9" s="10">
        <f>IF('calcul des chants'!E23=Optimisateur!$T$3,Optimisateur!$U$3,"")</f>
        <v/>
      </c>
      <c r="I9" s="14">
        <f>IF('calcul des chants'!F23=Optimisateur!$T$3,Optimisateur!$U$3,"")</f>
        <v/>
      </c>
      <c r="J9" s="10">
        <f>IF('calcul des chants'!G23=Optimisateur!$T$3,Optimisateur!$U$3,"")</f>
        <v/>
      </c>
      <c r="K9" s="10">
        <f>IF('calcul des chants'!H23=Optimisateur!$T$3,Optimisateur!$U$3,"")</f>
        <v/>
      </c>
      <c r="L9" s="13" t="n"/>
      <c r="M9" s="10">
        <f>IF(C9="","",'calcul des chants'!$C$4)</f>
        <v/>
      </c>
      <c r="N9" s="10">
        <f>IF(D9="","",'calcul des chants'!$Z$4)</f>
        <v/>
      </c>
      <c r="O9" s="10">
        <f>IF(E9="","",'calcul des chants'!J23)</f>
        <v/>
      </c>
      <c r="P9" s="10">
        <f>IF(F9="","",'calcul des chants'!M23)</f>
        <v/>
      </c>
      <c r="Q9" s="10">
        <f>IF(G9="","",'calcul des chants'!P23)</f>
        <v/>
      </c>
      <c r="R9" s="16" t="n"/>
      <c r="U9" t="inlineStr">
        <is>
          <t>PVC-23-1-BLANC</t>
        </is>
      </c>
    </row>
    <row r="10">
      <c r="B10" s="15">
        <f>IF(D10="","",'calcul des chants'!A24)</f>
        <v/>
      </c>
      <c r="C10" s="12">
        <f>IF('calcul des chants'!B24&lt;&gt;"",'calcul des chants'!$A$10,"")</f>
        <v/>
      </c>
      <c r="D10" s="10">
        <f>IF(C10="","",'calcul des chants'!B24)</f>
        <v/>
      </c>
      <c r="E10" s="10">
        <f>IF(D10="","",'calcul des chants'!C24)</f>
        <v/>
      </c>
      <c r="F10" s="10">
        <f>IF(E10="","",'calcul des chants'!D24)</f>
        <v/>
      </c>
      <c r="G10" s="10" t="n"/>
      <c r="H10" s="10">
        <f>IF('calcul des chants'!E24=Optimisateur!$T$3,Optimisateur!$U$3,"")</f>
        <v/>
      </c>
      <c r="I10" s="14">
        <f>IF('calcul des chants'!F24=Optimisateur!$T$3,Optimisateur!$U$3,"")</f>
        <v/>
      </c>
      <c r="J10" s="10">
        <f>IF('calcul des chants'!G24=Optimisateur!$T$3,Optimisateur!$U$3,"")</f>
        <v/>
      </c>
      <c r="K10" s="10">
        <f>IF('calcul des chants'!H24=Optimisateur!$T$3,Optimisateur!$U$3,"")</f>
        <v/>
      </c>
      <c r="L10" s="13" t="n"/>
      <c r="M10" s="10">
        <f>IF(C10="","",'calcul des chants'!$C$4)</f>
        <v/>
      </c>
      <c r="N10" s="10">
        <f>IF(D10="","",'calcul des chants'!$Z$4)</f>
        <v/>
      </c>
      <c r="O10" s="10">
        <f>IF(E10="","",'calcul des chants'!J24)</f>
        <v/>
      </c>
      <c r="P10" s="10">
        <f>IF(F10="","",'calcul des chants'!M24)</f>
        <v/>
      </c>
      <c r="Q10" s="10">
        <f>IF(G10="","",'calcul des chants'!P24)</f>
        <v/>
      </c>
      <c r="R10" s="16" t="n"/>
      <c r="U10" t="inlineStr">
        <is>
          <t>PVC-23-1-UNI</t>
        </is>
      </c>
    </row>
    <row r="11">
      <c r="B11" s="15">
        <f>IF(D11="","",'calcul des chants'!A25)</f>
        <v/>
      </c>
      <c r="C11" s="12">
        <f>IF('calcul des chants'!B25&lt;&gt;"",'calcul des chants'!$A$10,"")</f>
        <v/>
      </c>
      <c r="D11" s="10">
        <f>IF(C11="","",'calcul des chants'!B25)</f>
        <v/>
      </c>
      <c r="E11" s="10">
        <f>IF(D11="","",'calcul des chants'!C25)</f>
        <v/>
      </c>
      <c r="F11" s="10">
        <f>IF(E11="","",'calcul des chants'!D25)</f>
        <v/>
      </c>
      <c r="G11" s="10" t="n"/>
      <c r="H11" s="10">
        <f>IF('calcul des chants'!E25=Optimisateur!$T$3,Optimisateur!$U$3,"")</f>
        <v/>
      </c>
      <c r="I11" s="14">
        <f>IF('calcul des chants'!F25=Optimisateur!$T$3,Optimisateur!$U$3,"")</f>
        <v/>
      </c>
      <c r="J11" s="10">
        <f>IF('calcul des chants'!G25=Optimisateur!$T$3,Optimisateur!$U$3,"")</f>
        <v/>
      </c>
      <c r="K11" s="10">
        <f>IF('calcul des chants'!H25=Optimisateur!$T$3,Optimisateur!$U$3,"")</f>
        <v/>
      </c>
      <c r="L11" s="13" t="n"/>
      <c r="M11" s="10">
        <f>IF(C11="","",'calcul des chants'!$C$4)</f>
        <v/>
      </c>
      <c r="N11" s="10">
        <f>IF(D11="","",'calcul des chants'!$Z$4)</f>
        <v/>
      </c>
      <c r="O11" s="10">
        <f>IF(E11="","",'calcul des chants'!J25)</f>
        <v/>
      </c>
      <c r="P11" s="10">
        <f>IF(F11="","",'calcul des chants'!M25)</f>
        <v/>
      </c>
      <c r="Q11" s="10">
        <f>IF(G11="","",'calcul des chants'!P25)</f>
        <v/>
      </c>
      <c r="R11" s="16" t="n"/>
      <c r="U11" t="inlineStr">
        <is>
          <t>PVC-23-2-BLANC</t>
        </is>
      </c>
    </row>
    <row r="12">
      <c r="B12" s="15">
        <f>IF(D12="","",'calcul des chants'!A26)</f>
        <v/>
      </c>
      <c r="C12" s="12">
        <f>IF('calcul des chants'!B26&lt;&gt;"",'calcul des chants'!$A$10,"")</f>
        <v/>
      </c>
      <c r="D12" s="10">
        <f>IF(C12="","",'calcul des chants'!B26)</f>
        <v/>
      </c>
      <c r="E12" s="10">
        <f>IF(D12="","",'calcul des chants'!C26)</f>
        <v/>
      </c>
      <c r="F12" s="10">
        <f>IF(E12="","",'calcul des chants'!D26)</f>
        <v/>
      </c>
      <c r="G12" s="10" t="n"/>
      <c r="H12" s="10">
        <f>IF('calcul des chants'!E26=Optimisateur!$T$3,Optimisateur!$U$3,"")</f>
        <v/>
      </c>
      <c r="I12" s="14">
        <f>IF('calcul des chants'!F26=Optimisateur!$T$3,Optimisateur!$U$3,"")</f>
        <v/>
      </c>
      <c r="J12" s="10">
        <f>IF('calcul des chants'!G26=Optimisateur!$T$3,Optimisateur!$U$3,"")</f>
        <v/>
      </c>
      <c r="K12" s="10">
        <f>IF('calcul des chants'!H26=Optimisateur!$T$3,Optimisateur!$U$3,"")</f>
        <v/>
      </c>
      <c r="L12" s="13" t="n"/>
      <c r="M12" s="10">
        <f>IF(C12="","",'calcul des chants'!$C$4)</f>
        <v/>
      </c>
      <c r="N12" s="10">
        <f>IF(D12="","",'calcul des chants'!$Z$4)</f>
        <v/>
      </c>
      <c r="O12" s="10">
        <f>IF(E12="","",'calcul des chants'!J26)</f>
        <v/>
      </c>
      <c r="P12" s="10">
        <f>IF(F12="","",'calcul des chants'!M26)</f>
        <v/>
      </c>
      <c r="Q12" s="10">
        <f>IF(G12="","",'calcul des chants'!P26)</f>
        <v/>
      </c>
      <c r="R12" s="16" t="n"/>
      <c r="U12" t="inlineStr">
        <is>
          <t>PVC-23-2-UNI</t>
        </is>
      </c>
    </row>
    <row r="13">
      <c r="B13" s="15">
        <f>IF(D13="","",'calcul des chants'!A28)</f>
        <v/>
      </c>
      <c r="C13" s="12">
        <f>IF('calcul des chants'!B27&lt;&gt;"",'calcul des chants'!$A$10,"")</f>
        <v/>
      </c>
      <c r="D13" s="10">
        <f>IF(C13="","",'calcul des chants'!B27)</f>
        <v/>
      </c>
      <c r="E13" s="10">
        <f>IF(D13="","",'calcul des chants'!C27)</f>
        <v/>
      </c>
      <c r="F13" s="10">
        <f>IF(E13="","",'calcul des chants'!D27)</f>
        <v/>
      </c>
      <c r="G13" s="10" t="n"/>
      <c r="H13" s="10">
        <f>IF('calcul des chants'!E27=Optimisateur!$T$3,Optimisateur!$U$3,"")</f>
        <v/>
      </c>
      <c r="I13" s="14">
        <f>IF('calcul des chants'!F27=Optimisateur!$T$3,Optimisateur!$U$3,"")</f>
        <v/>
      </c>
      <c r="J13" s="10">
        <f>IF('calcul des chants'!G27=Optimisateur!$T$3,Optimisateur!$U$3,"")</f>
        <v/>
      </c>
      <c r="K13" s="10">
        <f>IF('calcul des chants'!H27=Optimisateur!$T$3,Optimisateur!$U$3,"")</f>
        <v/>
      </c>
      <c r="L13" s="13" t="n"/>
      <c r="M13" s="10">
        <f>IF(C13="","",'calcul des chants'!$C$4)</f>
        <v/>
      </c>
      <c r="N13" s="10">
        <f>IF(D13="","",'calcul des chants'!$Z$4)</f>
        <v/>
      </c>
      <c r="O13" s="10">
        <f>IF(E13="","",'calcul des chants'!J27)</f>
        <v/>
      </c>
      <c r="P13" s="10">
        <f>IF(F13="","",'calcul des chants'!M27)</f>
        <v/>
      </c>
      <c r="Q13" s="10">
        <f>IF(G13="","",'calcul des chants'!P27)</f>
        <v/>
      </c>
      <c r="R13" s="16" t="n"/>
    </row>
    <row r="14">
      <c r="B14" s="15">
        <f>IF(D14="","",'calcul des chants'!#REF!)</f>
        <v/>
      </c>
      <c r="C14" s="12">
        <f>IF('calcul des chants'!B28&lt;&gt;"",'calcul des chants'!$A$10,"")</f>
        <v/>
      </c>
      <c r="D14" s="10">
        <f>IF(C14="","",'calcul des chants'!B28)</f>
        <v/>
      </c>
      <c r="E14" s="10">
        <f>IF(D14="","",'calcul des chants'!C28)</f>
        <v/>
      </c>
      <c r="F14" s="10">
        <f>IF(E14="","",'calcul des chants'!D28)</f>
        <v/>
      </c>
      <c r="G14" s="10" t="n"/>
      <c r="H14" s="10">
        <f>IF('calcul des chants'!E28=Optimisateur!$T$3,Optimisateur!$U$3,"")</f>
        <v/>
      </c>
      <c r="I14" s="14">
        <f>IF('calcul des chants'!F28=Optimisateur!$T$3,Optimisateur!$U$3,"")</f>
        <v/>
      </c>
      <c r="J14" s="10">
        <f>IF('calcul des chants'!G28=Optimisateur!$T$3,Optimisateur!$U$3,"")</f>
        <v/>
      </c>
      <c r="K14" s="10">
        <f>IF('calcul des chants'!H28=Optimisateur!$T$3,Optimisateur!$U$3,"")</f>
        <v/>
      </c>
      <c r="L14" s="13" t="n"/>
      <c r="M14" s="10">
        <f>IF(C14="","",'calcul des chants'!$C$4)</f>
        <v/>
      </c>
      <c r="N14" s="10">
        <f>IF(D14="","",'calcul des chants'!$Z$4)</f>
        <v/>
      </c>
      <c r="O14" s="10">
        <f>IF(E14="","",'calcul des chants'!J28)</f>
        <v/>
      </c>
      <c r="P14" s="10">
        <f>IF(F14="","",'calcul des chants'!M28)</f>
        <v/>
      </c>
      <c r="Q14" s="10">
        <f>IF(G14="","",'calcul des chants'!P28)</f>
        <v/>
      </c>
      <c r="R14" s="16" t="n"/>
    </row>
    <row r="15">
      <c r="B15" s="15">
        <f>IF(D15="","",'calcul des chants'!A29)</f>
        <v/>
      </c>
      <c r="C15" s="12">
        <f>IF('calcul des chants'!B29&lt;&gt;"",'calcul des chants'!$A$10,"")</f>
        <v/>
      </c>
      <c r="D15" s="10">
        <f>IF(C15="","",'calcul des chants'!B29)</f>
        <v/>
      </c>
      <c r="E15" s="10">
        <f>IF(D15="","",'calcul des chants'!C29)</f>
        <v/>
      </c>
      <c r="F15" s="10">
        <f>IF(E15="","",'calcul des chants'!D29)</f>
        <v/>
      </c>
      <c r="G15" s="10" t="n"/>
      <c r="H15" s="10">
        <f>IF('calcul des chants'!E29=Optimisateur!$T$3,Optimisateur!$U$3,"")</f>
        <v/>
      </c>
      <c r="I15" s="14">
        <f>IF('calcul des chants'!F29=Optimisateur!$T$3,Optimisateur!$U$3,"")</f>
        <v/>
      </c>
      <c r="J15" s="10">
        <f>IF('calcul des chants'!G29=Optimisateur!$T$3,Optimisateur!$U$3,"")</f>
        <v/>
      </c>
      <c r="K15" s="10">
        <f>IF('calcul des chants'!H29=Optimisateur!$T$3,Optimisateur!$U$3,"")</f>
        <v/>
      </c>
      <c r="L15" s="13" t="n"/>
      <c r="M15" s="10">
        <f>IF(C15="","",'calcul des chants'!$C$4)</f>
        <v/>
      </c>
      <c r="N15" s="10">
        <f>IF(D15="","",'calcul des chants'!$Z$4)</f>
        <v/>
      </c>
      <c r="O15" s="10">
        <f>IF(E15="","",'calcul des chants'!J29)</f>
        <v/>
      </c>
      <c r="P15" s="10">
        <f>IF(F15="","",'calcul des chants'!M29)</f>
        <v/>
      </c>
      <c r="Q15" s="10">
        <f>IF(G15="","",'calcul des chants'!P29)</f>
        <v/>
      </c>
      <c r="R15" s="16" t="n"/>
    </row>
    <row r="16">
      <c r="B16" s="15">
        <f>IF(D16="","",'calcul des chants'!A30)</f>
        <v/>
      </c>
      <c r="C16" s="12">
        <f>IF('calcul des chants'!B30&lt;&gt;"",'calcul des chants'!$A$10,"")</f>
        <v/>
      </c>
      <c r="D16" s="10">
        <f>IF(C16="","",'calcul des chants'!B30)</f>
        <v/>
      </c>
      <c r="E16" s="10">
        <f>IF(D16="","",'calcul des chants'!C30)</f>
        <v/>
      </c>
      <c r="F16" s="10">
        <f>IF(E16="","",'calcul des chants'!D30)</f>
        <v/>
      </c>
      <c r="G16" s="10" t="n"/>
      <c r="H16" s="10">
        <f>IF('calcul des chants'!E30=Optimisateur!$T$3,Optimisateur!$U$3,"")</f>
        <v/>
      </c>
      <c r="I16" s="14">
        <f>IF('calcul des chants'!F30=Optimisateur!$T$3,Optimisateur!$U$3,"")</f>
        <v/>
      </c>
      <c r="J16" s="10">
        <f>IF('calcul des chants'!G30=Optimisateur!$T$3,Optimisateur!$U$3,"")</f>
        <v/>
      </c>
      <c r="K16" s="10">
        <f>IF('calcul des chants'!H30=Optimisateur!$T$3,Optimisateur!$U$3,"")</f>
        <v/>
      </c>
      <c r="L16" s="13" t="n"/>
      <c r="M16" s="10">
        <f>IF(C16="","",'calcul des chants'!$C$4)</f>
        <v/>
      </c>
      <c r="N16" s="10">
        <f>IF(D16="","",'calcul des chants'!$Z$4)</f>
        <v/>
      </c>
      <c r="O16" s="10">
        <f>IF(E16="","",'calcul des chants'!J30)</f>
        <v/>
      </c>
      <c r="P16" s="10">
        <f>IF(F16="","",'calcul des chants'!M30)</f>
        <v/>
      </c>
      <c r="Q16" s="10">
        <f>IF(G16="","",'calcul des chants'!P30)</f>
        <v/>
      </c>
      <c r="R16" s="16" t="n"/>
    </row>
    <row r="17">
      <c r="B17" s="15">
        <f>IF(D17="","",'calcul des chants'!A31)</f>
        <v/>
      </c>
      <c r="C17" s="12">
        <f>IF('calcul des chants'!B31&lt;&gt;"",'calcul des chants'!$A$10,"")</f>
        <v/>
      </c>
      <c r="D17" s="10">
        <f>IF(C17="","",'calcul des chants'!B31)</f>
        <v/>
      </c>
      <c r="E17" s="10">
        <f>IF(D17="","",'calcul des chants'!C31)</f>
        <v/>
      </c>
      <c r="F17" s="10">
        <f>IF(E17="","",'calcul des chants'!D31)</f>
        <v/>
      </c>
      <c r="G17" s="10" t="n"/>
      <c r="H17" s="10">
        <f>IF('calcul des chants'!E31=Optimisateur!$T$3,Optimisateur!$U$3,"")</f>
        <v/>
      </c>
      <c r="I17" s="14">
        <f>IF('calcul des chants'!F31=Optimisateur!$T$3,Optimisateur!$U$3,"")</f>
        <v/>
      </c>
      <c r="J17" s="10">
        <f>IF('calcul des chants'!G31=Optimisateur!$T$3,Optimisateur!$U$3,"")</f>
        <v/>
      </c>
      <c r="K17" s="10">
        <f>IF('calcul des chants'!H31=Optimisateur!$T$3,Optimisateur!$U$3,"")</f>
        <v/>
      </c>
      <c r="L17" s="13" t="n"/>
      <c r="M17" s="10">
        <f>IF(C17="","",'calcul des chants'!$C$4)</f>
        <v/>
      </c>
      <c r="N17" s="10">
        <f>IF(D17="","",'calcul des chants'!$Z$4)</f>
        <v/>
      </c>
      <c r="O17" s="10">
        <f>IF(E17="","",'calcul des chants'!J31)</f>
        <v/>
      </c>
      <c r="P17" s="10">
        <f>IF(F17="","",'calcul des chants'!M31)</f>
        <v/>
      </c>
      <c r="Q17" s="10">
        <f>IF(G17="","",'calcul des chants'!P31)</f>
        <v/>
      </c>
      <c r="R17" s="16" t="n"/>
    </row>
    <row r="18">
      <c r="B18" s="15">
        <f>IF(D18="","",'calcul des chants'!A32)</f>
        <v/>
      </c>
      <c r="C18" s="12">
        <f>IF('calcul des chants'!B32&lt;&gt;"",'calcul des chants'!$A$10,"")</f>
        <v/>
      </c>
      <c r="D18" s="10">
        <f>IF(C18="","",'calcul des chants'!B32)</f>
        <v/>
      </c>
      <c r="E18" s="10">
        <f>IF(D18="","",'calcul des chants'!C32)</f>
        <v/>
      </c>
      <c r="F18" s="10">
        <f>IF(E18="","",'calcul des chants'!D32)</f>
        <v/>
      </c>
      <c r="G18" s="10" t="n"/>
      <c r="H18" s="10">
        <f>IF('calcul des chants'!E32=Optimisateur!$T$3,Optimisateur!$U$3,"")</f>
        <v/>
      </c>
      <c r="I18" s="14">
        <f>IF('calcul des chants'!F32=Optimisateur!$T$3,Optimisateur!$U$3,"")</f>
        <v/>
      </c>
      <c r="J18" s="10">
        <f>IF('calcul des chants'!G32=Optimisateur!$T$3,Optimisateur!$U$3,"")</f>
        <v/>
      </c>
      <c r="K18" s="10">
        <f>IF('calcul des chants'!H32=Optimisateur!$T$3,Optimisateur!$U$3,"")</f>
        <v/>
      </c>
      <c r="L18" s="13" t="n"/>
      <c r="M18" s="10">
        <f>IF(C18="","",'calcul des chants'!$C$4)</f>
        <v/>
      </c>
      <c r="N18" s="10">
        <f>IF(D18="","",'calcul des chants'!$Z$4)</f>
        <v/>
      </c>
      <c r="O18" s="10">
        <f>IF(E18="","",'calcul des chants'!J32)</f>
        <v/>
      </c>
      <c r="P18" s="10">
        <f>IF(F18="","",'calcul des chants'!M32)</f>
        <v/>
      </c>
      <c r="Q18" s="10">
        <f>IF(G18="","",'calcul des chants'!P32)</f>
        <v/>
      </c>
      <c r="R18" s="16" t="n"/>
    </row>
    <row r="19">
      <c r="B19" s="15">
        <f>IF(D19="","",'calcul des chants'!A33)</f>
        <v/>
      </c>
      <c r="C19" s="12">
        <f>IF('calcul des chants'!B33&lt;&gt;"",'calcul des chants'!$A$10,"")</f>
        <v/>
      </c>
      <c r="D19" s="10">
        <f>IF(C19="","",'calcul des chants'!B33)</f>
        <v/>
      </c>
      <c r="E19" s="10">
        <f>IF(D19="","",'calcul des chants'!C33)</f>
        <v/>
      </c>
      <c r="F19" s="10">
        <f>IF(E19="","",'calcul des chants'!D33)</f>
        <v/>
      </c>
      <c r="G19" s="10" t="n"/>
      <c r="H19" s="10">
        <f>IF('calcul des chants'!E33=Optimisateur!$T$3,Optimisateur!$U$3,"")</f>
        <v/>
      </c>
      <c r="I19" s="14">
        <f>IF('calcul des chants'!F33=Optimisateur!$T$3,Optimisateur!$U$3,"")</f>
        <v/>
      </c>
      <c r="J19" s="10">
        <f>IF('calcul des chants'!G33=Optimisateur!$T$3,Optimisateur!$U$3,"")</f>
        <v/>
      </c>
      <c r="K19" s="10">
        <f>IF('calcul des chants'!H33=Optimisateur!$T$3,Optimisateur!$U$3,"")</f>
        <v/>
      </c>
      <c r="L19" s="13" t="n"/>
      <c r="M19" s="10">
        <f>IF(C19="","",'calcul des chants'!$C$4)</f>
        <v/>
      </c>
      <c r="N19" s="10">
        <f>IF(D19="","",'calcul des chants'!$Z$4)</f>
        <v/>
      </c>
      <c r="O19" s="10">
        <f>IF(E19="","",'calcul des chants'!J33)</f>
        <v/>
      </c>
      <c r="P19" s="10">
        <f>IF(F19="","",'calcul des chants'!M33)</f>
        <v/>
      </c>
      <c r="Q19" s="10">
        <f>IF(G19="","",'calcul des chants'!P33)</f>
        <v/>
      </c>
      <c r="R19" s="16" t="n"/>
    </row>
    <row r="20">
      <c r="B20" s="15">
        <f>IF(D20="","",'calcul des chants'!A34)</f>
        <v/>
      </c>
      <c r="C20" s="12">
        <f>IF('calcul des chants'!B34&lt;&gt;"",'calcul des chants'!$A$10,"")</f>
        <v/>
      </c>
      <c r="D20" s="10">
        <f>IF(C20="","",'calcul des chants'!B34)</f>
        <v/>
      </c>
      <c r="E20" s="10">
        <f>IF(D20="","",'calcul des chants'!C34)</f>
        <v/>
      </c>
      <c r="F20" s="10">
        <f>IF(E20="","",'calcul des chants'!D34)</f>
        <v/>
      </c>
      <c r="G20" s="10" t="n"/>
      <c r="H20" s="10">
        <f>IF('calcul des chants'!E34=Optimisateur!$T$3,Optimisateur!$U$3,"")</f>
        <v/>
      </c>
      <c r="I20" s="14">
        <f>IF('calcul des chants'!F34=Optimisateur!$T$3,Optimisateur!$U$3,"")</f>
        <v/>
      </c>
      <c r="J20" s="10">
        <f>IF('calcul des chants'!G34=Optimisateur!$T$3,Optimisateur!$U$3,"")</f>
        <v/>
      </c>
      <c r="K20" s="10">
        <f>IF('calcul des chants'!H34=Optimisateur!$T$3,Optimisateur!$U$3,"")</f>
        <v/>
      </c>
      <c r="L20" s="13" t="n"/>
      <c r="M20" s="10">
        <f>IF(C20="","",'calcul des chants'!$C$4)</f>
        <v/>
      </c>
      <c r="N20" s="10">
        <f>IF(D20="","",'calcul des chants'!$Z$4)</f>
        <v/>
      </c>
      <c r="O20" s="10">
        <f>IF(E20="","",'calcul des chants'!J34)</f>
        <v/>
      </c>
      <c r="P20" s="10">
        <f>IF(F20="","",'calcul des chants'!M34)</f>
        <v/>
      </c>
      <c r="Q20" s="10">
        <f>IF(G20="","",'calcul des chants'!P34)</f>
        <v/>
      </c>
      <c r="R20" s="16" t="n"/>
    </row>
    <row r="21">
      <c r="B21" s="15">
        <f>IF(D21="","",'calcul des chants'!A35)</f>
        <v/>
      </c>
      <c r="C21" s="12">
        <f>IF('calcul des chants'!B35&lt;&gt;"",'calcul des chants'!$A$10,"")</f>
        <v/>
      </c>
      <c r="D21" s="10">
        <f>IF(C21="","",'calcul des chants'!B35)</f>
        <v/>
      </c>
      <c r="E21" s="10">
        <f>IF(D21="","",'calcul des chants'!C35)</f>
        <v/>
      </c>
      <c r="F21" s="10">
        <f>IF(E21="","",'calcul des chants'!D35)</f>
        <v/>
      </c>
      <c r="G21" s="10" t="n"/>
      <c r="H21" s="10">
        <f>IF('calcul des chants'!E35=Optimisateur!$T$3,Optimisateur!$U$3,"")</f>
        <v/>
      </c>
      <c r="I21" s="14">
        <f>IF('calcul des chants'!F35=Optimisateur!$T$3,Optimisateur!$U$3,"")</f>
        <v/>
      </c>
      <c r="J21" s="10">
        <f>IF('calcul des chants'!G35=Optimisateur!$T$3,Optimisateur!$U$3,"")</f>
        <v/>
      </c>
      <c r="K21" s="10">
        <f>IF('calcul des chants'!H35=Optimisateur!$T$3,Optimisateur!$U$3,"")</f>
        <v/>
      </c>
      <c r="L21" s="13" t="n"/>
      <c r="M21" s="10">
        <f>IF(C21="","",'calcul des chants'!$C$4)</f>
        <v/>
      </c>
      <c r="N21" s="10">
        <f>IF(D21="","",'calcul des chants'!$Z$4)</f>
        <v/>
      </c>
      <c r="O21" s="10">
        <f>IF(E21="","",'calcul des chants'!J35)</f>
        <v/>
      </c>
      <c r="P21" s="10">
        <f>IF(F21="","",'calcul des chants'!M35)</f>
        <v/>
      </c>
      <c r="Q21" s="10">
        <f>IF(G21="","",'calcul des chants'!P35)</f>
        <v/>
      </c>
      <c r="R21" s="16" t="n"/>
    </row>
    <row r="22">
      <c r="B22" s="15">
        <f>IF(D22="","",'calcul des chants'!A36)</f>
        <v/>
      </c>
      <c r="C22" s="12">
        <f>IF('calcul des chants'!B36&lt;&gt;"",'calcul des chants'!$A$10,"")</f>
        <v/>
      </c>
      <c r="D22" s="10">
        <f>IF(C22="","",'calcul des chants'!B36)</f>
        <v/>
      </c>
      <c r="E22" s="10">
        <f>IF(D22="","",'calcul des chants'!C36)</f>
        <v/>
      </c>
      <c r="F22" s="10">
        <f>IF(E22="","",'calcul des chants'!D36)</f>
        <v/>
      </c>
      <c r="G22" s="10" t="n"/>
      <c r="H22" s="10">
        <f>IF('calcul des chants'!E36=Optimisateur!$T$3,Optimisateur!$U$3,"")</f>
        <v/>
      </c>
      <c r="I22" s="14">
        <f>IF('calcul des chants'!F36=Optimisateur!$T$3,Optimisateur!$U$3,"")</f>
        <v/>
      </c>
      <c r="J22" s="10">
        <f>IF('calcul des chants'!G36=Optimisateur!$T$3,Optimisateur!$U$3,"")</f>
        <v/>
      </c>
      <c r="K22" s="10">
        <f>IF('calcul des chants'!H36=Optimisateur!$T$3,Optimisateur!$U$3,"")</f>
        <v/>
      </c>
      <c r="L22" s="13" t="n"/>
      <c r="M22" s="10">
        <f>IF(C22="","",'calcul des chants'!$C$4)</f>
        <v/>
      </c>
      <c r="N22" s="10">
        <f>IF(D22="","",'calcul des chants'!$Z$4)</f>
        <v/>
      </c>
      <c r="O22" s="10">
        <f>IF(E22="","",'calcul des chants'!J36)</f>
        <v/>
      </c>
      <c r="P22" s="10">
        <f>IF(F22="","",'calcul des chants'!M36)</f>
        <v/>
      </c>
      <c r="Q22" s="10">
        <f>IF(G22="","",'calcul des chants'!P36)</f>
        <v/>
      </c>
      <c r="R22" s="16" t="n"/>
    </row>
    <row r="23">
      <c r="B23" s="15">
        <f>IF(D23="","",'calcul des chants'!A37)</f>
        <v/>
      </c>
      <c r="C23" s="12">
        <f>IF('calcul des chants'!B37&lt;&gt;"",'calcul des chants'!$A$10,"")</f>
        <v/>
      </c>
      <c r="D23" s="10">
        <f>IF(C23="","",'calcul des chants'!B37)</f>
        <v/>
      </c>
      <c r="E23" s="10">
        <f>IF(D23="","",'calcul des chants'!C37)</f>
        <v/>
      </c>
      <c r="F23" s="10">
        <f>IF(E23="","",'calcul des chants'!D37)</f>
        <v/>
      </c>
      <c r="G23" s="10" t="n"/>
      <c r="H23" s="10">
        <f>IF('calcul des chants'!E37=Optimisateur!$T$3,Optimisateur!$U$3,"")</f>
        <v/>
      </c>
      <c r="I23" s="14">
        <f>IF('calcul des chants'!F37=Optimisateur!$T$3,Optimisateur!$U$3,"")</f>
        <v/>
      </c>
      <c r="J23" s="10">
        <f>IF('calcul des chants'!G37=Optimisateur!$T$3,Optimisateur!$U$3,"")</f>
        <v/>
      </c>
      <c r="K23" s="10">
        <f>IF('calcul des chants'!H37=Optimisateur!$T$3,Optimisateur!$U$3,"")</f>
        <v/>
      </c>
      <c r="L23" s="13" t="n"/>
      <c r="M23" s="10">
        <f>IF(C23="","",'calcul des chants'!$C$4)</f>
        <v/>
      </c>
      <c r="N23" s="10">
        <f>IF(D23="","",'calcul des chants'!$Z$4)</f>
        <v/>
      </c>
      <c r="O23" s="10">
        <f>IF(E23="","",'calcul des chants'!J37)</f>
        <v/>
      </c>
      <c r="P23" s="10">
        <f>IF(F23="","",'calcul des chants'!M37)</f>
        <v/>
      </c>
      <c r="Q23" s="10">
        <f>IF(G23="","",'calcul des chants'!P37)</f>
        <v/>
      </c>
      <c r="R23" s="16" t="n"/>
    </row>
    <row r="24">
      <c r="B24" s="15">
        <f>IF(D24="","",'calcul des chants'!A38)</f>
        <v/>
      </c>
      <c r="C24" s="12">
        <f>IF('calcul des chants'!B38&lt;&gt;"",'calcul des chants'!$A$10,"")</f>
        <v/>
      </c>
      <c r="D24" s="10">
        <f>IF(C24="","",'calcul des chants'!B38)</f>
        <v/>
      </c>
      <c r="E24" s="10">
        <f>IF(D24="","",'calcul des chants'!C38)</f>
        <v/>
      </c>
      <c r="F24" s="10">
        <f>IF(E24="","",'calcul des chants'!D38)</f>
        <v/>
      </c>
      <c r="G24" s="10" t="n"/>
      <c r="H24" s="10">
        <f>IF('calcul des chants'!E38=Optimisateur!$T$3,Optimisateur!$U$3,"")</f>
        <v/>
      </c>
      <c r="I24" s="14">
        <f>IF('calcul des chants'!F38=Optimisateur!$T$3,Optimisateur!$U$3,"")</f>
        <v/>
      </c>
      <c r="J24" s="10">
        <f>IF('calcul des chants'!G38=Optimisateur!$T$3,Optimisateur!$U$3,"")</f>
        <v/>
      </c>
      <c r="K24" s="10">
        <f>IF('calcul des chants'!H38=Optimisateur!$T$3,Optimisateur!$U$3,"")</f>
        <v/>
      </c>
      <c r="L24" s="13" t="n"/>
      <c r="M24" s="10">
        <f>IF(C24="","",'calcul des chants'!$C$4)</f>
        <v/>
      </c>
      <c r="N24" s="10">
        <f>IF(D24="","",'calcul des chants'!$Z$4)</f>
        <v/>
      </c>
      <c r="O24" s="10">
        <f>IF(E24="","",'calcul des chants'!J38)</f>
        <v/>
      </c>
      <c r="P24" s="10">
        <f>IF(F24="","",'calcul des chants'!M38)</f>
        <v/>
      </c>
      <c r="Q24" s="10">
        <f>IF(G24="","",'calcul des chants'!P38)</f>
        <v/>
      </c>
      <c r="R24" s="16" t="n"/>
    </row>
    <row r="25">
      <c r="B25" s="15">
        <f>IF(D25="","",'calcul des chants'!A39)</f>
        <v/>
      </c>
      <c r="C25" s="12">
        <f>IF('calcul des chants'!B39&lt;&gt;"",'calcul des chants'!$A$10,"")</f>
        <v/>
      </c>
      <c r="D25" s="10">
        <f>IF(C25="","",'calcul des chants'!B39)</f>
        <v/>
      </c>
      <c r="E25" s="10">
        <f>IF(D25="","",'calcul des chants'!C39)</f>
        <v/>
      </c>
      <c r="F25" s="10">
        <f>IF(E25="","",'calcul des chants'!D39)</f>
        <v/>
      </c>
      <c r="G25" s="10" t="n"/>
      <c r="H25" s="10">
        <f>IF('calcul des chants'!E39=Optimisateur!$T$3,Optimisateur!$U$3,"")</f>
        <v/>
      </c>
      <c r="I25" s="14">
        <f>IF('calcul des chants'!F39=Optimisateur!$T$3,Optimisateur!$U$3,"")</f>
        <v/>
      </c>
      <c r="J25" s="10">
        <f>IF('calcul des chants'!G39=Optimisateur!$T$3,Optimisateur!$U$3,"")</f>
        <v/>
      </c>
      <c r="K25" s="10">
        <f>IF('calcul des chants'!H39=Optimisateur!$T$3,Optimisateur!$U$3,"")</f>
        <v/>
      </c>
      <c r="L25" s="13" t="n"/>
      <c r="M25" s="10">
        <f>IF(C25="","",'calcul des chants'!$C$4)</f>
        <v/>
      </c>
      <c r="N25" s="10">
        <f>IF(D25="","",'calcul des chants'!$Z$4)</f>
        <v/>
      </c>
      <c r="O25" s="10">
        <f>IF(E25="","",'calcul des chants'!J39)</f>
        <v/>
      </c>
      <c r="P25" s="10">
        <f>IF(F25="","",'calcul des chants'!M39)</f>
        <v/>
      </c>
      <c r="Q25" s="10">
        <f>IF(G25="","",'calcul des chants'!P39)</f>
        <v/>
      </c>
      <c r="R25" s="16" t="n"/>
    </row>
    <row r="26">
      <c r="B26" s="15">
        <f>IF(D26="","",'calcul des chants'!A40)</f>
        <v/>
      </c>
      <c r="C26" s="12">
        <f>IF('calcul des chants'!B40&lt;&gt;"",'calcul des chants'!$A$10,"")</f>
        <v/>
      </c>
      <c r="D26" s="10">
        <f>IF(C26="","",'calcul des chants'!B40)</f>
        <v/>
      </c>
      <c r="E26" s="10">
        <f>IF(D26="","",'calcul des chants'!C40)</f>
        <v/>
      </c>
      <c r="F26" s="10">
        <f>IF(E26="","",'calcul des chants'!D40)</f>
        <v/>
      </c>
      <c r="G26" s="10" t="n"/>
      <c r="H26" s="10">
        <f>IF('calcul des chants'!E40=Optimisateur!$T$3,Optimisateur!$U$3,"")</f>
        <v/>
      </c>
      <c r="I26" s="14">
        <f>IF('calcul des chants'!F40=Optimisateur!$T$3,Optimisateur!$U$3,"")</f>
        <v/>
      </c>
      <c r="J26" s="10">
        <f>IF('calcul des chants'!G40=Optimisateur!$T$3,Optimisateur!$U$3,"")</f>
        <v/>
      </c>
      <c r="K26" s="10">
        <f>IF('calcul des chants'!H40=Optimisateur!$T$3,Optimisateur!$U$3,"")</f>
        <v/>
      </c>
      <c r="L26" s="13" t="n"/>
      <c r="M26" s="10">
        <f>IF(C26="","",'calcul des chants'!$C$4)</f>
        <v/>
      </c>
      <c r="N26" s="10">
        <f>IF(D26="","",'calcul des chants'!$Z$4)</f>
        <v/>
      </c>
      <c r="O26" s="10">
        <f>IF(E26="","",'calcul des chants'!J40)</f>
        <v/>
      </c>
      <c r="P26" s="10">
        <f>IF(F26="","",'calcul des chants'!M40)</f>
        <v/>
      </c>
      <c r="Q26" s="10">
        <f>IF(G26="","",'calcul des chants'!P40)</f>
        <v/>
      </c>
      <c r="R26" s="16" t="n"/>
    </row>
    <row r="27">
      <c r="B27" s="15">
        <f>IF(D27="","",'calcul des chants'!A41)</f>
        <v/>
      </c>
      <c r="C27" s="12">
        <f>IF('calcul des chants'!B41&lt;&gt;"",'calcul des chants'!$A$10,"")</f>
        <v/>
      </c>
      <c r="D27" s="10">
        <f>IF(C27="","",'calcul des chants'!B41)</f>
        <v/>
      </c>
      <c r="E27" s="10">
        <f>IF(D27="","",'calcul des chants'!C41)</f>
        <v/>
      </c>
      <c r="F27" s="10">
        <f>IF(E27="","",'calcul des chants'!D41)</f>
        <v/>
      </c>
      <c r="G27" s="10" t="n"/>
      <c r="H27" s="10">
        <f>IF('calcul des chants'!E41=Optimisateur!$T$3,Optimisateur!$U$3,"")</f>
        <v/>
      </c>
      <c r="I27" s="14">
        <f>IF('calcul des chants'!F41=Optimisateur!$T$3,Optimisateur!$U$3,"")</f>
        <v/>
      </c>
      <c r="J27" s="10">
        <f>IF('calcul des chants'!G41=Optimisateur!$T$3,Optimisateur!$U$3,"")</f>
        <v/>
      </c>
      <c r="K27" s="10">
        <f>IF('calcul des chants'!H41=Optimisateur!$T$3,Optimisateur!$U$3,"")</f>
        <v/>
      </c>
      <c r="L27" s="13" t="n"/>
      <c r="M27" s="10">
        <f>IF(C27="","",'calcul des chants'!$C$4)</f>
        <v/>
      </c>
      <c r="N27" s="10">
        <f>IF(D27="","",'calcul des chants'!$Z$4)</f>
        <v/>
      </c>
      <c r="O27" s="10">
        <f>IF(E27="","",'calcul des chants'!J41)</f>
        <v/>
      </c>
      <c r="P27" s="10">
        <f>IF(F27="","",'calcul des chants'!M41)</f>
        <v/>
      </c>
      <c r="Q27" s="10">
        <f>IF(G27="","",'calcul des chants'!P41)</f>
        <v/>
      </c>
      <c r="R27" s="16" t="n"/>
    </row>
    <row r="28">
      <c r="B28" s="15">
        <f>IF(D28="","",'calcul des chants'!A42)</f>
        <v/>
      </c>
      <c r="C28" s="12">
        <f>IF('calcul des chants'!B42&lt;&gt;"",'calcul des chants'!$A$10,"")</f>
        <v/>
      </c>
      <c r="D28" s="10">
        <f>IF(C28="","",'calcul des chants'!B42)</f>
        <v/>
      </c>
      <c r="E28" s="10">
        <f>IF(D28="","",'calcul des chants'!C42)</f>
        <v/>
      </c>
      <c r="F28" s="10">
        <f>IF(E28="","",'calcul des chants'!D42)</f>
        <v/>
      </c>
      <c r="G28" s="10" t="n"/>
      <c r="H28" s="10">
        <f>IF('calcul des chants'!E42=Optimisateur!$T$3,Optimisateur!$U$3,"")</f>
        <v/>
      </c>
      <c r="I28" s="14">
        <f>IF('calcul des chants'!F42=Optimisateur!$T$3,Optimisateur!$U$3,"")</f>
        <v/>
      </c>
      <c r="J28" s="10">
        <f>IF('calcul des chants'!G42=Optimisateur!$T$3,Optimisateur!$U$3,"")</f>
        <v/>
      </c>
      <c r="K28" s="10">
        <f>IF('calcul des chants'!H42=Optimisateur!$T$3,Optimisateur!$U$3,"")</f>
        <v/>
      </c>
      <c r="L28" s="13" t="n"/>
      <c r="M28" s="10">
        <f>IF(C28="","",'calcul des chants'!$C$4)</f>
        <v/>
      </c>
      <c r="N28" s="10">
        <f>IF(D28="","",'calcul des chants'!$Z$4)</f>
        <v/>
      </c>
      <c r="O28" s="10">
        <f>IF(E28="","",'calcul des chants'!J42)</f>
        <v/>
      </c>
      <c r="P28" s="10">
        <f>IF(F28="","",'calcul des chants'!M42)</f>
        <v/>
      </c>
      <c r="Q28" s="10">
        <f>IF(G28="","",'calcul des chants'!P42)</f>
        <v/>
      </c>
      <c r="R28" s="16" t="n"/>
    </row>
    <row r="29">
      <c r="B29" s="15">
        <f>IF(D29="","",'calcul des chants'!A43)</f>
        <v/>
      </c>
      <c r="C29" s="12">
        <f>IF('calcul des chants'!B43&lt;&gt;"",'calcul des chants'!$A$10,"")</f>
        <v/>
      </c>
      <c r="D29" s="10">
        <f>IF(C29="","",'calcul des chants'!B43)</f>
        <v/>
      </c>
      <c r="E29" s="10">
        <f>IF(D29="","",'calcul des chants'!C43)</f>
        <v/>
      </c>
      <c r="F29" s="10">
        <f>IF(E29="","",'calcul des chants'!D43)</f>
        <v/>
      </c>
      <c r="G29" s="10" t="n"/>
      <c r="H29" s="10">
        <f>IF('calcul des chants'!E43=Optimisateur!$T$3,Optimisateur!$U$3,"")</f>
        <v/>
      </c>
      <c r="I29" s="14">
        <f>IF('calcul des chants'!F43=Optimisateur!$T$3,Optimisateur!$U$3,"")</f>
        <v/>
      </c>
      <c r="J29" s="10">
        <f>IF('calcul des chants'!G43=Optimisateur!$T$3,Optimisateur!$U$3,"")</f>
        <v/>
      </c>
      <c r="K29" s="10">
        <f>IF('calcul des chants'!H43=Optimisateur!$T$3,Optimisateur!$U$3,"")</f>
        <v/>
      </c>
      <c r="L29" s="13" t="n"/>
      <c r="M29" s="10">
        <f>IF(C29="","",'calcul des chants'!$C$4)</f>
        <v/>
      </c>
      <c r="N29" s="10">
        <f>IF(D29="","",'calcul des chants'!$Z$4)</f>
        <v/>
      </c>
      <c r="O29" s="10">
        <f>IF(E29="","",'calcul des chants'!J43)</f>
        <v/>
      </c>
      <c r="P29" s="10">
        <f>IF(F29="","",'calcul des chants'!M43)</f>
        <v/>
      </c>
      <c r="Q29" s="10">
        <f>IF(G29="","",'calcul des chants'!P43)</f>
        <v/>
      </c>
      <c r="R29" s="16" t="n"/>
    </row>
    <row r="30">
      <c r="B30" s="15">
        <f>IF(D30="","",'calcul des chants'!A56)</f>
        <v/>
      </c>
      <c r="C30" s="12">
        <f>IF('calcul des chants'!B79&lt;&gt;"",'calcul des chants'!$A$10,"")</f>
        <v/>
      </c>
      <c r="D30" s="10">
        <f>IF(C30="","",'calcul des chants'!B79)</f>
        <v/>
      </c>
      <c r="E30" s="10">
        <f>IF(D30="","",'calcul des chants'!C79)</f>
        <v/>
      </c>
      <c r="F30" s="10">
        <f>IF(E30="","",'calcul des chants'!D79)</f>
        <v/>
      </c>
      <c r="G30" s="10" t="n"/>
      <c r="H30" s="10">
        <f>IF('calcul des chants'!E79=Optimisateur!$T$3,Optimisateur!$U$3,"")</f>
        <v/>
      </c>
      <c r="I30" s="14">
        <f>IF('calcul des chants'!F79=Optimisateur!$T$3,Optimisateur!$U$3,"")</f>
        <v/>
      </c>
      <c r="J30" s="10">
        <f>IF('calcul des chants'!G79=Optimisateur!$T$3,Optimisateur!$U$3,"")</f>
        <v/>
      </c>
      <c r="K30" s="10">
        <f>IF('calcul des chants'!H79=Optimisateur!$T$3,Optimisateur!$U$3,"")</f>
        <v/>
      </c>
      <c r="L30" s="13" t="n"/>
      <c r="M30" s="10">
        <f>IF(C30="","",'calcul des chants'!$C$4)</f>
        <v/>
      </c>
      <c r="N30" s="10">
        <f>IF(D30="","",'calcul des chants'!$Z$4)</f>
        <v/>
      </c>
      <c r="O30" s="10">
        <f>IF(E30="","",'calcul des chants'!J79)</f>
        <v/>
      </c>
      <c r="P30" s="10">
        <f>IF(F30="","",'calcul des chants'!M79)</f>
        <v/>
      </c>
      <c r="Q30" s="10">
        <f>IF(G30="","",'calcul des chants'!P79)</f>
        <v/>
      </c>
      <c r="R30" s="16" t="n"/>
    </row>
    <row r="31">
      <c r="B31" s="15">
        <f>IF(D31="","",'calcul des chants'!A57)</f>
        <v/>
      </c>
      <c r="C31" s="12">
        <f>IF('calcul des chants'!B80&lt;&gt;"",'calcul des chants'!$A$10,"")</f>
        <v/>
      </c>
      <c r="D31" s="10">
        <f>IF(C31="","",'calcul des chants'!B80)</f>
        <v/>
      </c>
      <c r="E31" s="10">
        <f>IF(D31="","",'calcul des chants'!C80)</f>
        <v/>
      </c>
      <c r="F31" s="10">
        <f>IF(E31="","",'calcul des chants'!D80)</f>
        <v/>
      </c>
      <c r="G31" s="10" t="n"/>
      <c r="H31" s="10">
        <f>IF('calcul des chants'!E80=Optimisateur!$T$3,Optimisateur!$U$3,"")</f>
        <v/>
      </c>
      <c r="I31" s="14">
        <f>IF('calcul des chants'!F80=Optimisateur!$T$3,Optimisateur!$U$3,"")</f>
        <v/>
      </c>
      <c r="J31" s="10">
        <f>IF('calcul des chants'!G80=Optimisateur!$T$3,Optimisateur!$U$3,"")</f>
        <v/>
      </c>
      <c r="K31" s="10">
        <f>IF('calcul des chants'!H80=Optimisateur!$T$3,Optimisateur!$U$3,"")</f>
        <v/>
      </c>
      <c r="L31" s="13" t="n"/>
      <c r="M31" s="10">
        <f>IF(C31="","",'calcul des chants'!$C$4)</f>
        <v/>
      </c>
      <c r="N31" s="10">
        <f>IF(D31="","",'calcul des chants'!$Z$4)</f>
        <v/>
      </c>
      <c r="O31" s="10">
        <f>IF(E31="","",'calcul des chants'!J80)</f>
        <v/>
      </c>
      <c r="P31" s="10">
        <f>IF(F31="","",'calcul des chants'!M80)</f>
        <v/>
      </c>
      <c r="Q31" s="10">
        <f>IF(G31="","",'calcul des chants'!P80)</f>
        <v/>
      </c>
      <c r="R31" s="16" t="n"/>
    </row>
    <row r="32">
      <c r="B32" s="15">
        <f>IF(D32="","",'calcul des chants'!A58)</f>
        <v/>
      </c>
      <c r="C32" s="12">
        <f>IF('calcul des chants'!B81&lt;&gt;"",'calcul des chants'!$A$10,"")</f>
        <v/>
      </c>
      <c r="D32" s="10">
        <f>IF(C32="","",'calcul des chants'!B81)</f>
        <v/>
      </c>
      <c r="E32" s="10">
        <f>IF(D32="","",'calcul des chants'!C81)</f>
        <v/>
      </c>
      <c r="F32" s="10">
        <f>IF(E32="","",'calcul des chants'!D81)</f>
        <v/>
      </c>
      <c r="G32" s="10" t="n"/>
      <c r="H32" s="10">
        <f>IF('calcul des chants'!E81=Optimisateur!$T$3,Optimisateur!$U$3,"")</f>
        <v/>
      </c>
      <c r="I32" s="14">
        <f>IF('calcul des chants'!F81=Optimisateur!$T$3,Optimisateur!$U$3,"")</f>
        <v/>
      </c>
      <c r="J32" s="10">
        <f>IF('calcul des chants'!G81=Optimisateur!$T$3,Optimisateur!$U$3,"")</f>
        <v/>
      </c>
      <c r="K32" s="10">
        <f>IF('calcul des chants'!H81=Optimisateur!$T$3,Optimisateur!$U$3,"")</f>
        <v/>
      </c>
      <c r="L32" s="13" t="n"/>
      <c r="M32" s="10">
        <f>IF(C32="","",'calcul des chants'!$C$4)</f>
        <v/>
      </c>
      <c r="N32" s="10">
        <f>IF(D32="","",'calcul des chants'!$Z$4)</f>
        <v/>
      </c>
      <c r="O32" s="10">
        <f>IF(E32="","",'calcul des chants'!J81)</f>
        <v/>
      </c>
      <c r="P32" s="10">
        <f>IF(F32="","",'calcul des chants'!M81)</f>
        <v/>
      </c>
      <c r="Q32" s="10">
        <f>IF(G32="","",'calcul des chants'!P81)</f>
        <v/>
      </c>
      <c r="R32" s="16" t="n"/>
    </row>
    <row r="33">
      <c r="B33" s="15">
        <f>IF(D33="","",'calcul des chants'!A59)</f>
        <v/>
      </c>
      <c r="C33" s="12">
        <f>IF('calcul des chants'!B82&lt;&gt;"",'calcul des chants'!$A$10,"")</f>
        <v/>
      </c>
      <c r="D33" s="10">
        <f>IF(C33="","",'calcul des chants'!B82)</f>
        <v/>
      </c>
      <c r="E33" s="10">
        <f>IF(D33="","",'calcul des chants'!C82)</f>
        <v/>
      </c>
      <c r="F33" s="10">
        <f>IF(E33="","",'calcul des chants'!D82)</f>
        <v/>
      </c>
      <c r="G33" s="10" t="n"/>
      <c r="H33" s="10">
        <f>IF('calcul des chants'!E82=Optimisateur!$T$3,Optimisateur!$U$3,"")</f>
        <v/>
      </c>
      <c r="I33" s="14">
        <f>IF('calcul des chants'!F82=Optimisateur!$T$3,Optimisateur!$U$3,"")</f>
        <v/>
      </c>
      <c r="J33" s="10">
        <f>IF('calcul des chants'!G82=Optimisateur!$T$3,Optimisateur!$U$3,"")</f>
        <v/>
      </c>
      <c r="K33" s="10">
        <f>IF('calcul des chants'!H82=Optimisateur!$T$3,Optimisateur!$U$3,"")</f>
        <v/>
      </c>
      <c r="L33" s="13" t="n"/>
      <c r="M33" s="10">
        <f>IF(C33="","",'calcul des chants'!$C$4)</f>
        <v/>
      </c>
      <c r="N33" s="10">
        <f>IF(D33="","",'calcul des chants'!$Z$4)</f>
        <v/>
      </c>
      <c r="O33" s="10">
        <f>IF(E33="","",'calcul des chants'!J82)</f>
        <v/>
      </c>
      <c r="P33" s="10">
        <f>IF(F33="","",'calcul des chants'!M82)</f>
        <v/>
      </c>
      <c r="Q33" s="10">
        <f>IF(G33="","",'calcul des chants'!P82)</f>
        <v/>
      </c>
      <c r="R33" s="16" t="n"/>
    </row>
    <row r="34">
      <c r="B34" s="15">
        <f>IF(D34="","",'calcul des chants'!A60)</f>
        <v/>
      </c>
      <c r="C34" s="12">
        <f>IF('calcul des chants'!B83&lt;&gt;"",'calcul des chants'!$A$10,"")</f>
        <v/>
      </c>
      <c r="D34" s="10">
        <f>IF(C34="","",'calcul des chants'!B83)</f>
        <v/>
      </c>
      <c r="E34" s="10">
        <f>IF(D34="","",'calcul des chants'!C83)</f>
        <v/>
      </c>
      <c r="F34" s="10">
        <f>IF(E34="","",'calcul des chants'!D83)</f>
        <v/>
      </c>
      <c r="G34" s="10" t="n"/>
      <c r="H34" s="10">
        <f>IF('calcul des chants'!E83=Optimisateur!$T$3,Optimisateur!$U$3,"")</f>
        <v/>
      </c>
      <c r="I34" s="14">
        <f>IF('calcul des chants'!F83=Optimisateur!$T$3,Optimisateur!$U$3,"")</f>
        <v/>
      </c>
      <c r="J34" s="10">
        <f>IF('calcul des chants'!G83=Optimisateur!$T$3,Optimisateur!$U$3,"")</f>
        <v/>
      </c>
      <c r="K34" s="10">
        <f>IF('calcul des chants'!H83=Optimisateur!$T$3,Optimisateur!$U$3,"")</f>
        <v/>
      </c>
      <c r="L34" s="13" t="n"/>
      <c r="M34" s="10">
        <f>IF(C34="","",'calcul des chants'!$C$4)</f>
        <v/>
      </c>
      <c r="N34" s="10">
        <f>IF(D34="","",'calcul des chants'!$Z$4)</f>
        <v/>
      </c>
      <c r="O34" s="10">
        <f>IF(E34="","",'calcul des chants'!J83)</f>
        <v/>
      </c>
      <c r="P34" s="10">
        <f>IF(F34="","",'calcul des chants'!M83)</f>
        <v/>
      </c>
      <c r="Q34" s="10">
        <f>IF(G34="","",'calcul des chants'!P83)</f>
        <v/>
      </c>
      <c r="R34" s="16" t="n"/>
    </row>
    <row r="35">
      <c r="B35" s="15">
        <f>IF(D35="","",'calcul des chants'!A75)</f>
        <v/>
      </c>
      <c r="C35" s="12">
        <f>IF('calcul des chants'!B84&lt;&gt;"",'calcul des chants'!$A$10,"")</f>
        <v/>
      </c>
      <c r="D35" s="10">
        <f>IF(C35="","",'calcul des chants'!B84)</f>
        <v/>
      </c>
      <c r="E35" s="10">
        <f>IF(D35="","",'calcul des chants'!C84)</f>
        <v/>
      </c>
      <c r="F35" s="10">
        <f>IF(E35="","",'calcul des chants'!D84)</f>
        <v/>
      </c>
      <c r="G35" s="10" t="n"/>
      <c r="H35" s="10">
        <f>IF('calcul des chants'!E84=Optimisateur!$T$3,Optimisateur!$U$3,"")</f>
        <v/>
      </c>
      <c r="I35" s="14">
        <f>IF('calcul des chants'!F84=Optimisateur!$T$3,Optimisateur!$U$3,"")</f>
        <v/>
      </c>
      <c r="J35" s="10">
        <f>IF('calcul des chants'!G84=Optimisateur!$T$3,Optimisateur!$U$3,"")</f>
        <v/>
      </c>
      <c r="K35" s="10">
        <f>IF('calcul des chants'!H84=Optimisateur!$T$3,Optimisateur!$U$3,"")</f>
        <v/>
      </c>
      <c r="L35" s="13" t="n"/>
      <c r="M35" s="10">
        <f>IF(C35="","",'calcul des chants'!$C$4)</f>
        <v/>
      </c>
      <c r="N35" s="10">
        <f>IF(D35="","",'calcul des chants'!$Z$4)</f>
        <v/>
      </c>
      <c r="O35" s="10">
        <f>IF(E35="","",'calcul des chants'!J84)</f>
        <v/>
      </c>
      <c r="P35" s="10">
        <f>IF(F35="","",'calcul des chants'!M84)</f>
        <v/>
      </c>
      <c r="Q35" s="10">
        <f>IF(G35="","",'calcul des chants'!P84)</f>
        <v/>
      </c>
      <c r="R35" s="16" t="n"/>
    </row>
    <row r="36">
      <c r="B36" s="15">
        <f>IF(D36="","",'calcul des chants'!A76)</f>
        <v/>
      </c>
      <c r="C36" s="12">
        <f>IF('calcul des chants'!B85&lt;&gt;"",'calcul des chants'!$A$10,"")</f>
        <v/>
      </c>
      <c r="D36" s="10">
        <f>IF(C36="","",'calcul des chants'!B85)</f>
        <v/>
      </c>
      <c r="E36" s="10">
        <f>IF(D36="","",'calcul des chants'!C85)</f>
        <v/>
      </c>
      <c r="F36" s="10">
        <f>IF(E36="","",'calcul des chants'!D85)</f>
        <v/>
      </c>
      <c r="G36" s="10" t="n"/>
      <c r="H36" s="10">
        <f>IF('calcul des chants'!E85=Optimisateur!$T$3,Optimisateur!$U$3,"")</f>
        <v/>
      </c>
      <c r="I36" s="14">
        <f>IF('calcul des chants'!F85=Optimisateur!$T$3,Optimisateur!$U$3,"")</f>
        <v/>
      </c>
      <c r="J36" s="10">
        <f>IF('calcul des chants'!G85=Optimisateur!$T$3,Optimisateur!$U$3,"")</f>
        <v/>
      </c>
      <c r="K36" s="10">
        <f>IF('calcul des chants'!H85=Optimisateur!$T$3,Optimisateur!$U$3,"")</f>
        <v/>
      </c>
      <c r="L36" s="13" t="n"/>
      <c r="M36" s="10">
        <f>IF(C36="","",'calcul des chants'!$C$4)</f>
        <v/>
      </c>
      <c r="N36" s="10">
        <f>IF(D36="","",'calcul des chants'!$Z$4)</f>
        <v/>
      </c>
      <c r="O36" s="10">
        <f>IF(E36="","",'calcul des chants'!J85)</f>
        <v/>
      </c>
      <c r="P36" s="10">
        <f>IF(F36="","",'calcul des chants'!M85)</f>
        <v/>
      </c>
      <c r="Q36" s="10">
        <f>IF(G36="","",'calcul des chants'!P85)</f>
        <v/>
      </c>
      <c r="R36" s="16" t="n"/>
    </row>
    <row r="37">
      <c r="B37" s="15">
        <f>IF(D37="","",'calcul des chants'!A77)</f>
        <v/>
      </c>
      <c r="C37" s="12">
        <f>IF('calcul des chants'!B86&lt;&gt;"",'calcul des chants'!$A$10,"")</f>
        <v/>
      </c>
      <c r="D37" s="10">
        <f>IF(C37="","",'calcul des chants'!B86)</f>
        <v/>
      </c>
      <c r="E37" s="10">
        <f>IF(D37="","",'calcul des chants'!C86)</f>
        <v/>
      </c>
      <c r="F37" s="10">
        <f>IF(E37="","",'calcul des chants'!D86)</f>
        <v/>
      </c>
      <c r="G37" s="10" t="n"/>
      <c r="H37" s="10">
        <f>IF('calcul des chants'!E86=Optimisateur!$T$3,Optimisateur!$U$3,"")</f>
        <v/>
      </c>
      <c r="I37" s="14">
        <f>IF('calcul des chants'!F86=Optimisateur!$T$3,Optimisateur!$U$3,"")</f>
        <v/>
      </c>
      <c r="J37" s="10">
        <f>IF('calcul des chants'!G86=Optimisateur!$T$3,Optimisateur!$U$3,"")</f>
        <v/>
      </c>
      <c r="K37" s="10">
        <f>IF('calcul des chants'!H86=Optimisateur!$T$3,Optimisateur!$U$3,"")</f>
        <v/>
      </c>
      <c r="L37" s="13" t="n"/>
      <c r="M37" s="10">
        <f>IF(C37="","",'calcul des chants'!$C$4)</f>
        <v/>
      </c>
      <c r="N37" s="10">
        <f>IF(D37="","",'calcul des chants'!$Z$4)</f>
        <v/>
      </c>
      <c r="O37" s="10">
        <f>IF(E37="","",'calcul des chants'!J86)</f>
        <v/>
      </c>
      <c r="P37" s="10">
        <f>IF(F37="","",'calcul des chants'!M86)</f>
        <v/>
      </c>
      <c r="Q37" s="10">
        <f>IF(G37="","",'calcul des chants'!P86)</f>
        <v/>
      </c>
      <c r="R37" s="16" t="n"/>
    </row>
    <row r="38">
      <c r="B38" s="15">
        <f>IF(D38="","",'calcul des chants'!A78)</f>
        <v/>
      </c>
      <c r="C38" s="12">
        <f>IF('calcul des chants'!B87&lt;&gt;"",'calcul des chants'!$A$10,"")</f>
        <v/>
      </c>
      <c r="D38" s="10">
        <f>IF(C38="","",'calcul des chants'!B87)</f>
        <v/>
      </c>
      <c r="E38" s="10">
        <f>IF(D38="","",'calcul des chants'!C87)</f>
        <v/>
      </c>
      <c r="F38" s="10">
        <f>IF(E38="","",'calcul des chants'!D87)</f>
        <v/>
      </c>
      <c r="G38" s="10" t="n"/>
      <c r="H38" s="10">
        <f>IF('calcul des chants'!E87=Optimisateur!$T$3,Optimisateur!$U$3,"")</f>
        <v/>
      </c>
      <c r="I38" s="14">
        <f>IF('calcul des chants'!F87=Optimisateur!$T$3,Optimisateur!$U$3,"")</f>
        <v/>
      </c>
      <c r="J38" s="10">
        <f>IF('calcul des chants'!G87=Optimisateur!$T$3,Optimisateur!$U$3,"")</f>
        <v/>
      </c>
      <c r="K38" s="10">
        <f>IF('calcul des chants'!H87=Optimisateur!$T$3,Optimisateur!$U$3,"")</f>
        <v/>
      </c>
      <c r="L38" s="13" t="n"/>
      <c r="M38" s="10">
        <f>IF(C38="","",'calcul des chants'!$C$4)</f>
        <v/>
      </c>
      <c r="N38" s="10">
        <f>IF(D38="","",'calcul des chants'!$Z$4)</f>
        <v/>
      </c>
      <c r="O38" s="10">
        <f>IF(E38="","",'calcul des chants'!J87)</f>
        <v/>
      </c>
      <c r="P38" s="10">
        <f>IF(F38="","",'calcul des chants'!M87)</f>
        <v/>
      </c>
      <c r="Q38" s="10">
        <f>IF(G38="","",'calcul des chants'!P87)</f>
        <v/>
      </c>
      <c r="R38" s="16" t="n"/>
    </row>
    <row r="39">
      <c r="B39" s="15">
        <f>IF(D39="","",'calcul des chants'!#REF!)</f>
        <v/>
      </c>
      <c r="C39" s="12">
        <f>IF('calcul des chants'!B88&lt;&gt;"",'calcul des chants'!$A$10,"")</f>
        <v/>
      </c>
      <c r="D39" s="10">
        <f>IF(C39="","",'calcul des chants'!B88)</f>
        <v/>
      </c>
      <c r="E39" s="10">
        <f>IF(D39="","",'calcul des chants'!C88)</f>
        <v/>
      </c>
      <c r="F39" s="10">
        <f>IF(E39="","",'calcul des chants'!D88)</f>
        <v/>
      </c>
      <c r="G39" s="10" t="n"/>
      <c r="H39" s="10">
        <f>IF('calcul des chants'!E88=Optimisateur!$T$3,Optimisateur!$U$3,"")</f>
        <v/>
      </c>
      <c r="I39" s="14">
        <f>IF('calcul des chants'!F88=Optimisateur!$T$3,Optimisateur!$U$3,"")</f>
        <v/>
      </c>
      <c r="J39" s="10">
        <f>IF('calcul des chants'!G88=Optimisateur!$T$3,Optimisateur!$U$3,"")</f>
        <v/>
      </c>
      <c r="K39" s="10">
        <f>IF('calcul des chants'!H88=Optimisateur!$T$3,Optimisateur!$U$3,"")</f>
        <v/>
      </c>
      <c r="L39" s="13" t="n"/>
      <c r="M39" s="10">
        <f>IF(C39="","",'calcul des chants'!$C$4)</f>
        <v/>
      </c>
      <c r="N39" s="10">
        <f>IF(D39="","",'calcul des chants'!$Z$4)</f>
        <v/>
      </c>
      <c r="O39" s="10">
        <f>IF(E39="","",'calcul des chants'!J88)</f>
        <v/>
      </c>
      <c r="P39" s="10">
        <f>IF(F39="","",'calcul des chants'!M88)</f>
        <v/>
      </c>
      <c r="Q39" s="10">
        <f>IF(G39="","",'calcul des chants'!P88)</f>
        <v/>
      </c>
      <c r="R39" s="16" t="n"/>
    </row>
    <row r="40">
      <c r="B40" s="15">
        <f>IF(D40="","",'calcul des chants'!#REF!)</f>
        <v/>
      </c>
      <c r="C40" s="12">
        <f>IF('calcul des chants'!B89&lt;&gt;"",'calcul des chants'!$A$10,"")</f>
        <v/>
      </c>
      <c r="D40" s="10">
        <f>IF(C40="","",'calcul des chants'!B89)</f>
        <v/>
      </c>
      <c r="E40" s="10">
        <f>IF(D40="","",'calcul des chants'!C89)</f>
        <v/>
      </c>
      <c r="F40" s="10">
        <f>IF(E40="","",'calcul des chants'!D89)</f>
        <v/>
      </c>
      <c r="G40" s="10" t="n"/>
      <c r="H40" s="10">
        <f>IF('calcul des chants'!E89=Optimisateur!$T$3,Optimisateur!$U$3,"")</f>
        <v/>
      </c>
      <c r="I40" s="14">
        <f>IF('calcul des chants'!F89=Optimisateur!$T$3,Optimisateur!$U$3,"")</f>
        <v/>
      </c>
      <c r="J40" s="10">
        <f>IF('calcul des chants'!G89=Optimisateur!$T$3,Optimisateur!$U$3,"")</f>
        <v/>
      </c>
      <c r="K40" s="10">
        <f>IF('calcul des chants'!H89=Optimisateur!$T$3,Optimisateur!$U$3,"")</f>
        <v/>
      </c>
      <c r="L40" s="13" t="n"/>
      <c r="M40" s="10">
        <f>IF(C40="","",'calcul des chants'!$C$4)</f>
        <v/>
      </c>
      <c r="N40" s="10">
        <f>IF(D40="","",'calcul des chants'!$Z$4)</f>
        <v/>
      </c>
      <c r="O40" s="10">
        <f>IF(E40="","",'calcul des chants'!J89)</f>
        <v/>
      </c>
      <c r="P40" s="10">
        <f>IF(F40="","",'calcul des chants'!M89)</f>
        <v/>
      </c>
      <c r="Q40" s="10">
        <f>IF(G40="","",'calcul des chants'!P89)</f>
        <v/>
      </c>
      <c r="R40" s="16" t="n"/>
    </row>
    <row r="41">
      <c r="B41" s="15">
        <f>IF(D41="","",'calcul des chants'!#REF!)</f>
        <v/>
      </c>
      <c r="C41" s="12">
        <f>IF('calcul des chants'!B90&lt;&gt;"",'calcul des chants'!$A$10,"")</f>
        <v/>
      </c>
      <c r="D41" s="10">
        <f>IF(C41="","",'calcul des chants'!B90)</f>
        <v/>
      </c>
      <c r="E41" s="10">
        <f>IF(D41="","",'calcul des chants'!C90)</f>
        <v/>
      </c>
      <c r="F41" s="10">
        <f>IF(E41="","",'calcul des chants'!D90)</f>
        <v/>
      </c>
      <c r="G41" s="10" t="n"/>
      <c r="H41" s="10">
        <f>IF('calcul des chants'!E90=Optimisateur!$T$3,Optimisateur!$U$3,"")</f>
        <v/>
      </c>
      <c r="I41" s="14">
        <f>IF('calcul des chants'!F90=Optimisateur!$T$3,Optimisateur!$U$3,"")</f>
        <v/>
      </c>
      <c r="J41" s="10">
        <f>IF('calcul des chants'!G90=Optimisateur!$T$3,Optimisateur!$U$3,"")</f>
        <v/>
      </c>
      <c r="K41" s="10">
        <f>IF('calcul des chants'!H90=Optimisateur!$T$3,Optimisateur!$U$3,"")</f>
        <v/>
      </c>
      <c r="L41" s="13" t="n"/>
      <c r="M41" s="10">
        <f>IF(C41="","",'calcul des chants'!$C$4)</f>
        <v/>
      </c>
      <c r="N41" s="10">
        <f>IF(D41="","",'calcul des chants'!$Z$4)</f>
        <v/>
      </c>
      <c r="O41" s="10">
        <f>IF(E41="","",'calcul des chants'!J90)</f>
        <v/>
      </c>
      <c r="P41" s="10">
        <f>IF(F41="","",'calcul des chants'!M90)</f>
        <v/>
      </c>
      <c r="Q41" s="10">
        <f>IF(G41="","",'calcul des chants'!P90)</f>
        <v/>
      </c>
      <c r="R41" s="16" t="n"/>
    </row>
    <row r="42">
      <c r="B42" s="15">
        <f>IF(D42="","",'calcul des chants'!#REF!)</f>
        <v/>
      </c>
      <c r="C42" s="12">
        <f>IF('calcul des chants'!B91&lt;&gt;"",'calcul des chants'!$A$10,"")</f>
        <v/>
      </c>
      <c r="D42" s="10">
        <f>IF(C42="","",'calcul des chants'!B91)</f>
        <v/>
      </c>
      <c r="E42" s="10">
        <f>IF(D42="","",'calcul des chants'!C91)</f>
        <v/>
      </c>
      <c r="F42" s="10">
        <f>IF(E42="","",'calcul des chants'!D91)</f>
        <v/>
      </c>
      <c r="G42" s="10" t="n"/>
      <c r="H42" s="10">
        <f>IF('calcul des chants'!E91=Optimisateur!$T$3,Optimisateur!$U$3,"")</f>
        <v/>
      </c>
      <c r="I42" s="14">
        <f>IF('calcul des chants'!F91=Optimisateur!$T$3,Optimisateur!$U$3,"")</f>
        <v/>
      </c>
      <c r="J42" s="10">
        <f>IF('calcul des chants'!G91=Optimisateur!$T$3,Optimisateur!$U$3,"")</f>
        <v/>
      </c>
      <c r="K42" s="10">
        <f>IF('calcul des chants'!H91=Optimisateur!$T$3,Optimisateur!$U$3,"")</f>
        <v/>
      </c>
      <c r="L42" s="13" t="n"/>
      <c r="M42" s="10">
        <f>IF(C42="","",'calcul des chants'!$C$4)</f>
        <v/>
      </c>
      <c r="N42" s="10">
        <f>IF(D42="","",'calcul des chants'!$Z$4)</f>
        <v/>
      </c>
      <c r="O42" s="10">
        <f>IF(E42="","",'calcul des chants'!J91)</f>
        <v/>
      </c>
      <c r="P42" s="10">
        <f>IF(F42="","",'calcul des chants'!M91)</f>
        <v/>
      </c>
      <c r="Q42" s="10">
        <f>IF(G42="","",'calcul des chants'!P91)</f>
        <v/>
      </c>
      <c r="R42" s="16" t="n"/>
    </row>
    <row r="43">
      <c r="B43" s="15">
        <f>IF(D43="","",'calcul des chants'!A79)</f>
        <v/>
      </c>
      <c r="C43" s="12">
        <f>IF('calcul des chants'!B92&lt;&gt;"",'calcul des chants'!$A$10,"")</f>
        <v/>
      </c>
      <c r="D43" s="10">
        <f>IF(C43="","",'calcul des chants'!B92)</f>
        <v/>
      </c>
      <c r="E43" s="10">
        <f>IF(D43="","",'calcul des chants'!C92)</f>
        <v/>
      </c>
      <c r="F43" s="10">
        <f>IF(E43="","",'calcul des chants'!D92)</f>
        <v/>
      </c>
      <c r="G43" s="10" t="n"/>
      <c r="H43" s="10">
        <f>IF('calcul des chants'!E92=Optimisateur!$T$3,Optimisateur!$U$3,"")</f>
        <v/>
      </c>
      <c r="I43" s="14">
        <f>IF('calcul des chants'!F92=Optimisateur!$T$3,Optimisateur!$U$3,"")</f>
        <v/>
      </c>
      <c r="J43" s="10">
        <f>IF('calcul des chants'!G92=Optimisateur!$T$3,Optimisateur!$U$3,"")</f>
        <v/>
      </c>
      <c r="K43" s="10">
        <f>IF('calcul des chants'!H92=Optimisateur!$T$3,Optimisateur!$U$3,"")</f>
        <v/>
      </c>
      <c r="L43" s="13" t="n"/>
      <c r="M43" s="10">
        <f>IF(C43="","",'calcul des chants'!$C$4)</f>
        <v/>
      </c>
      <c r="N43" s="10">
        <f>IF(D43="","",'calcul des chants'!$Z$4)</f>
        <v/>
      </c>
      <c r="O43" s="10">
        <f>IF(E43="","",'calcul des chants'!J92)</f>
        <v/>
      </c>
      <c r="P43" s="10">
        <f>IF(F43="","",'calcul des chants'!M92)</f>
        <v/>
      </c>
      <c r="Q43" s="10">
        <f>IF(G43="","",'calcul des chants'!P92)</f>
        <v/>
      </c>
      <c r="R43" s="16" t="n"/>
    </row>
    <row r="44">
      <c r="B44" s="15">
        <f>IF(D44="","",'calcul des chants'!A80)</f>
        <v/>
      </c>
      <c r="C44" s="12">
        <f>IF('calcul des chants'!B93&lt;&gt;"",'calcul des chants'!$A$10,"")</f>
        <v/>
      </c>
      <c r="D44" s="10">
        <f>IF(C44="","",'calcul des chants'!B93)</f>
        <v/>
      </c>
      <c r="E44" s="10">
        <f>IF(D44="","",'calcul des chants'!C93)</f>
        <v/>
      </c>
      <c r="F44" s="10">
        <f>IF(E44="","",'calcul des chants'!D93)</f>
        <v/>
      </c>
      <c r="G44" s="10" t="n"/>
      <c r="H44" s="10">
        <f>IF('calcul des chants'!E93=Optimisateur!$T$3,Optimisateur!$U$3,"")</f>
        <v/>
      </c>
      <c r="I44" s="14">
        <f>IF('calcul des chants'!F93=Optimisateur!$T$3,Optimisateur!$U$3,"")</f>
        <v/>
      </c>
      <c r="J44" s="10">
        <f>IF('calcul des chants'!G93=Optimisateur!$T$3,Optimisateur!$U$3,"")</f>
        <v/>
      </c>
      <c r="K44" s="10">
        <f>IF('calcul des chants'!H93=Optimisateur!$T$3,Optimisateur!$U$3,"")</f>
        <v/>
      </c>
      <c r="L44" s="13" t="n"/>
      <c r="M44" s="10">
        <f>IF(C44="","",'calcul des chants'!$C$4)</f>
        <v/>
      </c>
      <c r="N44" s="10">
        <f>IF(D44="","",'calcul des chants'!$Z$4)</f>
        <v/>
      </c>
      <c r="O44" s="10">
        <f>IF(E44="","",'calcul des chants'!J93)</f>
        <v/>
      </c>
      <c r="P44" s="10">
        <f>IF(F44="","",'calcul des chants'!M93)</f>
        <v/>
      </c>
      <c r="Q44" s="10">
        <f>IF(G44="","",'calcul des chants'!P93)</f>
        <v/>
      </c>
      <c r="R44" s="16" t="n"/>
    </row>
    <row r="45">
      <c r="B45" s="15">
        <f>IF(D45="","",'calcul des chants'!A81)</f>
        <v/>
      </c>
      <c r="C45" s="12">
        <f>IF('calcul des chants'!B94&lt;&gt;"",'calcul des chants'!$A$10,"")</f>
        <v/>
      </c>
      <c r="D45" s="10">
        <f>IF(C45="","",'calcul des chants'!B94)</f>
        <v/>
      </c>
      <c r="E45" s="10">
        <f>IF(D45="","",'calcul des chants'!C94)</f>
        <v/>
      </c>
      <c r="F45" s="10">
        <f>IF(E45="","",'calcul des chants'!D94)</f>
        <v/>
      </c>
      <c r="G45" s="10" t="n"/>
      <c r="H45" s="10">
        <f>IF('calcul des chants'!E94=Optimisateur!$T$3,Optimisateur!$U$3,"")</f>
        <v/>
      </c>
      <c r="I45" s="14">
        <f>IF('calcul des chants'!F94=Optimisateur!$T$3,Optimisateur!$U$3,"")</f>
        <v/>
      </c>
      <c r="J45" s="10">
        <f>IF('calcul des chants'!G94=Optimisateur!$T$3,Optimisateur!$U$3,"")</f>
        <v/>
      </c>
      <c r="K45" s="10">
        <f>IF('calcul des chants'!H94=Optimisateur!$T$3,Optimisateur!$U$3,"")</f>
        <v/>
      </c>
      <c r="L45" s="13" t="n"/>
      <c r="M45" s="10">
        <f>IF(C45="","",'calcul des chants'!$C$4)</f>
        <v/>
      </c>
      <c r="N45" s="10">
        <f>IF(D45="","",'calcul des chants'!$Z$4)</f>
        <v/>
      </c>
      <c r="O45" s="10">
        <f>IF(E45="","",'calcul des chants'!J94)</f>
        <v/>
      </c>
      <c r="P45" s="10">
        <f>IF(F45="","",'calcul des chants'!M94)</f>
        <v/>
      </c>
      <c r="Q45" s="10">
        <f>IF(G45="","",'calcul des chants'!P94)</f>
        <v/>
      </c>
      <c r="R45" s="16" t="n"/>
    </row>
    <row r="46">
      <c r="B46" s="15">
        <f>IF(D46="","",'calcul des chants'!A82)</f>
        <v/>
      </c>
      <c r="C46" s="12">
        <f>IF('calcul des chants'!B95&lt;&gt;"",'calcul des chants'!$A$10,"")</f>
        <v/>
      </c>
      <c r="D46" s="10">
        <f>IF(C46="","",'calcul des chants'!B95)</f>
        <v/>
      </c>
      <c r="E46" s="10">
        <f>IF(D46="","",'calcul des chants'!C95)</f>
        <v/>
      </c>
      <c r="F46" s="10">
        <f>IF(E46="","",'calcul des chants'!D95)</f>
        <v/>
      </c>
      <c r="G46" s="10" t="n"/>
      <c r="H46" s="10">
        <f>IF('calcul des chants'!E95=Optimisateur!$T$3,Optimisateur!$U$3,"")</f>
        <v/>
      </c>
      <c r="I46" s="14">
        <f>IF('calcul des chants'!F95=Optimisateur!$T$3,Optimisateur!$U$3,"")</f>
        <v/>
      </c>
      <c r="J46" s="10">
        <f>IF('calcul des chants'!G95=Optimisateur!$T$3,Optimisateur!$U$3,"")</f>
        <v/>
      </c>
      <c r="K46" s="10">
        <f>IF('calcul des chants'!H95=Optimisateur!$T$3,Optimisateur!$U$3,"")</f>
        <v/>
      </c>
      <c r="L46" s="13" t="n"/>
      <c r="M46" s="10">
        <f>IF(C46="","",'calcul des chants'!$C$4)</f>
        <v/>
      </c>
      <c r="N46" s="10">
        <f>IF(D46="","",'calcul des chants'!$Z$4)</f>
        <v/>
      </c>
      <c r="O46" s="10">
        <f>IF(E46="","",'calcul des chants'!J95)</f>
        <v/>
      </c>
      <c r="P46" s="10">
        <f>IF(F46="","",'calcul des chants'!M95)</f>
        <v/>
      </c>
      <c r="Q46" s="10">
        <f>IF(G46="","",'calcul des chants'!P95)</f>
        <v/>
      </c>
      <c r="R46" s="16" t="n"/>
    </row>
    <row r="47">
      <c r="B47" s="15">
        <f>IF(D47="","",'calcul des chants'!A83)</f>
        <v/>
      </c>
      <c r="C47" s="12">
        <f>IF('calcul des chants'!B96&lt;&gt;"",'calcul des chants'!$A$10,"")</f>
        <v/>
      </c>
      <c r="D47" s="10">
        <f>IF(C47="","",'calcul des chants'!B96)</f>
        <v/>
      </c>
      <c r="E47" s="10">
        <f>IF(D47="","",'calcul des chants'!C96)</f>
        <v/>
      </c>
      <c r="F47" s="10">
        <f>IF(E47="","",'calcul des chants'!D96)</f>
        <v/>
      </c>
      <c r="G47" s="10" t="n"/>
      <c r="H47" s="10">
        <f>IF('calcul des chants'!E96=Optimisateur!$T$3,Optimisateur!$U$3,"")</f>
        <v/>
      </c>
      <c r="I47" s="14">
        <f>IF('calcul des chants'!F96=Optimisateur!$T$3,Optimisateur!$U$3,"")</f>
        <v/>
      </c>
      <c r="J47" s="10">
        <f>IF('calcul des chants'!G96=Optimisateur!$T$3,Optimisateur!$U$3,"")</f>
        <v/>
      </c>
      <c r="K47" s="10">
        <f>IF('calcul des chants'!H96=Optimisateur!$T$3,Optimisateur!$U$3,"")</f>
        <v/>
      </c>
      <c r="L47" s="13" t="n"/>
      <c r="M47" s="10">
        <f>IF(C47="","",'calcul des chants'!$C$4)</f>
        <v/>
      </c>
      <c r="N47" s="10">
        <f>IF(D47="","",'calcul des chants'!$Z$4)</f>
        <v/>
      </c>
      <c r="O47" s="10">
        <f>IF(E47="","",'calcul des chants'!J96)</f>
        <v/>
      </c>
      <c r="P47" s="10">
        <f>IF(F47="","",'calcul des chants'!M96)</f>
        <v/>
      </c>
      <c r="Q47" s="10">
        <f>IF(G47="","",'calcul des chants'!P96)</f>
        <v/>
      </c>
      <c r="R47" s="16" t="n"/>
    </row>
    <row r="48">
      <c r="B48" s="15">
        <f>IF(D48="","",'calcul des chants'!A84)</f>
        <v/>
      </c>
      <c r="C48" s="12">
        <f>IF('calcul des chants'!B97&lt;&gt;"",'calcul des chants'!$A$10,"")</f>
        <v/>
      </c>
      <c r="D48" s="10">
        <f>IF(C48="","",'calcul des chants'!B97)</f>
        <v/>
      </c>
      <c r="E48" s="10">
        <f>IF(D48="","",'calcul des chants'!C97)</f>
        <v/>
      </c>
      <c r="F48" s="10">
        <f>IF(E48="","",'calcul des chants'!D97)</f>
        <v/>
      </c>
      <c r="G48" s="10" t="n"/>
      <c r="H48" s="10">
        <f>IF('calcul des chants'!E97=Optimisateur!$T$3,Optimisateur!$U$3,"")</f>
        <v/>
      </c>
      <c r="I48" s="14">
        <f>IF('calcul des chants'!F97=Optimisateur!$T$3,Optimisateur!$U$3,"")</f>
        <v/>
      </c>
      <c r="J48" s="10">
        <f>IF('calcul des chants'!G97=Optimisateur!$T$3,Optimisateur!$U$3,"")</f>
        <v/>
      </c>
      <c r="K48" s="10">
        <f>IF('calcul des chants'!H97=Optimisateur!$T$3,Optimisateur!$U$3,"")</f>
        <v/>
      </c>
      <c r="L48" s="13" t="n"/>
      <c r="M48" s="10">
        <f>IF(C48="","",'calcul des chants'!$C$4)</f>
        <v/>
      </c>
      <c r="N48" s="10">
        <f>IF(D48="","",'calcul des chants'!$Z$4)</f>
        <v/>
      </c>
      <c r="O48" s="10">
        <f>IF(E48="","",'calcul des chants'!J97)</f>
        <v/>
      </c>
      <c r="P48" s="10">
        <f>IF(F48="","",'calcul des chants'!M97)</f>
        <v/>
      </c>
      <c r="Q48" s="10">
        <f>IF(G48="","",'calcul des chants'!P97)</f>
        <v/>
      </c>
      <c r="R48" s="16" t="n"/>
    </row>
    <row r="49">
      <c r="B49" s="15">
        <f>IF(D49="","",'calcul des chants'!A85)</f>
        <v/>
      </c>
      <c r="C49" s="12">
        <f>IF('calcul des chants'!B98&lt;&gt;"",'calcul des chants'!$A$10,"")</f>
        <v/>
      </c>
      <c r="D49" s="10">
        <f>IF(C49="","",'calcul des chants'!B98)</f>
        <v/>
      </c>
      <c r="E49" s="10">
        <f>IF(D49="","",'calcul des chants'!C98)</f>
        <v/>
      </c>
      <c r="F49" s="10">
        <f>IF(E49="","",'calcul des chants'!D98)</f>
        <v/>
      </c>
      <c r="G49" s="10" t="n"/>
      <c r="H49" s="10">
        <f>IF('calcul des chants'!E98=Optimisateur!$T$3,Optimisateur!$U$3,"")</f>
        <v/>
      </c>
      <c r="I49" s="14">
        <f>IF('calcul des chants'!F98=Optimisateur!$T$3,Optimisateur!$U$3,"")</f>
        <v/>
      </c>
      <c r="J49" s="10">
        <f>IF('calcul des chants'!G98=Optimisateur!$T$3,Optimisateur!$U$3,"")</f>
        <v/>
      </c>
      <c r="K49" s="10">
        <f>IF('calcul des chants'!H98=Optimisateur!$T$3,Optimisateur!$U$3,"")</f>
        <v/>
      </c>
      <c r="L49" s="13" t="n"/>
      <c r="M49" s="10">
        <f>IF(C49="","",'calcul des chants'!$C$4)</f>
        <v/>
      </c>
      <c r="N49" s="10">
        <f>IF(D49="","",'calcul des chants'!$Z$4)</f>
        <v/>
      </c>
      <c r="O49" s="10">
        <f>IF(E49="","",'calcul des chants'!J98)</f>
        <v/>
      </c>
      <c r="P49" s="10">
        <f>IF(F49="","",'calcul des chants'!M98)</f>
        <v/>
      </c>
      <c r="Q49" s="10">
        <f>IF(G49="","",'calcul des chants'!P98)</f>
        <v/>
      </c>
      <c r="R49" s="16" t="n"/>
    </row>
    <row r="50">
      <c r="B50" s="15">
        <f>IF(D50="","",'calcul des chants'!A86)</f>
        <v/>
      </c>
      <c r="C50" s="12">
        <f>IF('calcul des chants'!B99&lt;&gt;"",'calcul des chants'!$A$10,"")</f>
        <v/>
      </c>
      <c r="D50" s="10">
        <f>IF(C50="","",'calcul des chants'!B99)</f>
        <v/>
      </c>
      <c r="E50" s="10">
        <f>IF(D50="","",'calcul des chants'!C99)</f>
        <v/>
      </c>
      <c r="F50" s="10">
        <f>IF(E50="","",'calcul des chants'!D99)</f>
        <v/>
      </c>
      <c r="G50" s="10" t="n"/>
      <c r="H50" s="10">
        <f>IF('calcul des chants'!E99=Optimisateur!$T$3,Optimisateur!$U$3,"")</f>
        <v/>
      </c>
      <c r="I50" s="14">
        <f>IF('calcul des chants'!F99=Optimisateur!$T$3,Optimisateur!$U$3,"")</f>
        <v/>
      </c>
      <c r="J50" s="10">
        <f>IF('calcul des chants'!G99=Optimisateur!$T$3,Optimisateur!$U$3,"")</f>
        <v/>
      </c>
      <c r="K50" s="10">
        <f>IF('calcul des chants'!H99=Optimisateur!$T$3,Optimisateur!$U$3,"")</f>
        <v/>
      </c>
      <c r="L50" s="13" t="n"/>
      <c r="M50" s="10">
        <f>IF(C50="","",'calcul des chants'!$C$4)</f>
        <v/>
      </c>
      <c r="N50" s="10">
        <f>IF(D50="","",'calcul des chants'!$Z$4)</f>
        <v/>
      </c>
      <c r="O50" s="10">
        <f>IF(E50="","",'calcul des chants'!J99)</f>
        <v/>
      </c>
      <c r="P50" s="10">
        <f>IF(F50="","",'calcul des chants'!M99)</f>
        <v/>
      </c>
      <c r="Q50" s="10">
        <f>IF(G50="","",'calcul des chants'!P99)</f>
        <v/>
      </c>
      <c r="R50" s="16" t="n"/>
    </row>
    <row r="51">
      <c r="B51" s="15">
        <f>IF(D51="","",'calcul des chants'!A87)</f>
        <v/>
      </c>
      <c r="C51" s="12">
        <f>IF('calcul des chants'!B100&lt;&gt;"",'calcul des chants'!$A$10,"")</f>
        <v/>
      </c>
      <c r="D51" s="10">
        <f>IF(C51="","",'calcul des chants'!B100)</f>
        <v/>
      </c>
      <c r="E51" s="10">
        <f>IF(D51="","",'calcul des chants'!C100)</f>
        <v/>
      </c>
      <c r="F51" s="10">
        <f>IF(E51="","",'calcul des chants'!D100)</f>
        <v/>
      </c>
      <c r="G51" s="10" t="n"/>
      <c r="H51" s="10">
        <f>IF('calcul des chants'!E100=Optimisateur!$T$3,Optimisateur!$U$3,"")</f>
        <v/>
      </c>
      <c r="I51" s="14">
        <f>IF('calcul des chants'!F100=Optimisateur!$T$3,Optimisateur!$U$3,"")</f>
        <v/>
      </c>
      <c r="J51" s="10">
        <f>IF('calcul des chants'!G100=Optimisateur!$T$3,Optimisateur!$U$3,"")</f>
        <v/>
      </c>
      <c r="K51" s="10">
        <f>IF('calcul des chants'!H100=Optimisateur!$T$3,Optimisateur!$U$3,"")</f>
        <v/>
      </c>
      <c r="L51" s="13" t="n"/>
      <c r="M51" s="10">
        <f>IF(C51="","",'calcul des chants'!$C$4)</f>
        <v/>
      </c>
      <c r="N51" s="10">
        <f>IF(D51="","",'calcul des chants'!$Z$4)</f>
        <v/>
      </c>
      <c r="O51" s="10">
        <f>IF(E51="","",'calcul des chants'!J100)</f>
        <v/>
      </c>
      <c r="P51" s="10">
        <f>IF(F51="","",'calcul des chants'!M100)</f>
        <v/>
      </c>
      <c r="Q51" s="10">
        <f>IF(G51="","",'calcul des chants'!P100)</f>
        <v/>
      </c>
      <c r="R51" s="16" t="n"/>
    </row>
    <row r="52">
      <c r="B52" s="15">
        <f>IF(D52="","",'calcul des chants'!A88)</f>
        <v/>
      </c>
      <c r="C52" s="12">
        <f>IF('calcul des chants'!B101&lt;&gt;"",'calcul des chants'!$A$10,"")</f>
        <v/>
      </c>
      <c r="D52" s="10">
        <f>IF(C52="","",'calcul des chants'!B101)</f>
        <v/>
      </c>
      <c r="E52" s="10">
        <f>IF(D52="","",'calcul des chants'!C101)</f>
        <v/>
      </c>
      <c r="F52" s="10">
        <f>IF(E52="","",'calcul des chants'!D101)</f>
        <v/>
      </c>
      <c r="G52" s="10" t="n"/>
      <c r="H52" s="10">
        <f>IF('calcul des chants'!E101=Optimisateur!$T$3,Optimisateur!$U$3,"")</f>
        <v/>
      </c>
      <c r="I52" s="14">
        <f>IF('calcul des chants'!F101=Optimisateur!$T$3,Optimisateur!$U$3,"")</f>
        <v/>
      </c>
      <c r="J52" s="10">
        <f>IF('calcul des chants'!G101=Optimisateur!$T$3,Optimisateur!$U$3,"")</f>
        <v/>
      </c>
      <c r="K52" s="10">
        <f>IF('calcul des chants'!H101=Optimisateur!$T$3,Optimisateur!$U$3,"")</f>
        <v/>
      </c>
      <c r="L52" s="13" t="n"/>
      <c r="M52" s="10">
        <f>IF(C52="","",'calcul des chants'!$C$4)</f>
        <v/>
      </c>
      <c r="N52" s="10">
        <f>IF(D52="","",'calcul des chants'!$Z$4)</f>
        <v/>
      </c>
      <c r="O52" s="10">
        <f>IF(E52="","",'calcul des chants'!J101)</f>
        <v/>
      </c>
      <c r="P52" s="10">
        <f>IF(F52="","",'calcul des chants'!M101)</f>
        <v/>
      </c>
      <c r="Q52" s="10">
        <f>IF(G52="","",'calcul des chants'!P101)</f>
        <v/>
      </c>
      <c r="R52" s="16" t="n"/>
    </row>
    <row r="53">
      <c r="B53" s="15">
        <f>IF(D53="","",'calcul des chants'!A89)</f>
        <v/>
      </c>
      <c r="C53" s="12">
        <f>IF('calcul des chants'!B102&lt;&gt;"",'calcul des chants'!$A$10,"")</f>
        <v/>
      </c>
      <c r="D53" s="10">
        <f>IF(C53="","",'calcul des chants'!B102)</f>
        <v/>
      </c>
      <c r="E53" s="10">
        <f>IF(D53="","",'calcul des chants'!C102)</f>
        <v/>
      </c>
      <c r="F53" s="10">
        <f>IF(E53="","",'calcul des chants'!D102)</f>
        <v/>
      </c>
      <c r="G53" s="10" t="n"/>
      <c r="H53" s="10">
        <f>IF('calcul des chants'!E102=Optimisateur!$T$3,Optimisateur!$U$3,"")</f>
        <v/>
      </c>
      <c r="I53" s="14">
        <f>IF('calcul des chants'!F102=Optimisateur!$T$3,Optimisateur!$U$3,"")</f>
        <v/>
      </c>
      <c r="J53" s="10">
        <f>IF('calcul des chants'!G102=Optimisateur!$T$3,Optimisateur!$U$3,"")</f>
        <v/>
      </c>
      <c r="K53" s="10">
        <f>IF('calcul des chants'!H102=Optimisateur!$T$3,Optimisateur!$U$3,"")</f>
        <v/>
      </c>
      <c r="L53" s="13" t="n"/>
      <c r="M53" s="10">
        <f>IF(C53="","",'calcul des chants'!$C$4)</f>
        <v/>
      </c>
      <c r="N53" s="10">
        <f>IF(D53="","",'calcul des chants'!$Z$4)</f>
        <v/>
      </c>
      <c r="O53" s="10">
        <f>IF(E53="","",'calcul des chants'!J102)</f>
        <v/>
      </c>
      <c r="P53" s="10">
        <f>IF(F53="","",'calcul des chants'!M102)</f>
        <v/>
      </c>
      <c r="Q53" s="10">
        <f>IF(G53="","",'calcul des chants'!P102)</f>
        <v/>
      </c>
      <c r="R53" s="16" t="n"/>
    </row>
    <row r="54">
      <c r="B54" s="15">
        <f>IF(D54="","",'calcul des chants'!A90)</f>
        <v/>
      </c>
      <c r="C54" s="12">
        <f>IF('calcul des chants'!B103&lt;&gt;"",'calcul des chants'!$A$10,"")</f>
        <v/>
      </c>
      <c r="D54" s="10">
        <f>IF(C54="","",'calcul des chants'!B103)</f>
        <v/>
      </c>
      <c r="E54" s="10">
        <f>IF(D54="","",'calcul des chants'!C103)</f>
        <v/>
      </c>
      <c r="F54" s="10">
        <f>IF(E54="","",'calcul des chants'!D103)</f>
        <v/>
      </c>
      <c r="G54" s="10" t="n"/>
      <c r="H54" s="10">
        <f>IF('calcul des chants'!E103=Optimisateur!$T$3,Optimisateur!$U$3,"")</f>
        <v/>
      </c>
      <c r="I54" s="14">
        <f>IF('calcul des chants'!F103=Optimisateur!$T$3,Optimisateur!$U$3,"")</f>
        <v/>
      </c>
      <c r="J54" s="10">
        <f>IF('calcul des chants'!G103=Optimisateur!$T$3,Optimisateur!$U$3,"")</f>
        <v/>
      </c>
      <c r="K54" s="10">
        <f>IF('calcul des chants'!H103=Optimisateur!$T$3,Optimisateur!$U$3,"")</f>
        <v/>
      </c>
      <c r="L54" s="13" t="n"/>
      <c r="M54" s="10">
        <f>IF(C54="","",'calcul des chants'!$C$4)</f>
        <v/>
      </c>
      <c r="N54" s="10">
        <f>IF(D54="","",'calcul des chants'!$Z$4)</f>
        <v/>
      </c>
      <c r="O54" s="10">
        <f>IF(E54="","",'calcul des chants'!J103)</f>
        <v/>
      </c>
      <c r="P54" s="10">
        <f>IF(F54="","",'calcul des chants'!M103)</f>
        <v/>
      </c>
      <c r="Q54" s="10">
        <f>IF(G54="","",'calcul des chants'!P103)</f>
        <v/>
      </c>
      <c r="R54" s="16" t="n"/>
    </row>
    <row r="55">
      <c r="B55" s="15">
        <f>IF(D55="","",'calcul des chants'!A91)</f>
        <v/>
      </c>
      <c r="C55" s="12">
        <f>IF('calcul des chants'!B104&lt;&gt;"",'calcul des chants'!$A$10,"")</f>
        <v/>
      </c>
      <c r="D55" s="10">
        <f>IF(C55="","",'calcul des chants'!B104)</f>
        <v/>
      </c>
      <c r="E55" s="10">
        <f>IF(D55="","",'calcul des chants'!C104)</f>
        <v/>
      </c>
      <c r="F55" s="10">
        <f>IF(E55="","",'calcul des chants'!D104)</f>
        <v/>
      </c>
      <c r="G55" s="10" t="n"/>
      <c r="H55" s="10">
        <f>IF('calcul des chants'!E104=Optimisateur!$T$3,Optimisateur!$U$3,"")</f>
        <v/>
      </c>
      <c r="I55" s="14">
        <f>IF('calcul des chants'!F104=Optimisateur!$T$3,Optimisateur!$U$3,"")</f>
        <v/>
      </c>
      <c r="J55" s="10">
        <f>IF('calcul des chants'!G104=Optimisateur!$T$3,Optimisateur!$U$3,"")</f>
        <v/>
      </c>
      <c r="K55" s="10">
        <f>IF('calcul des chants'!H104=Optimisateur!$T$3,Optimisateur!$U$3,"")</f>
        <v/>
      </c>
      <c r="L55" s="13" t="n"/>
      <c r="M55" s="10">
        <f>IF(C55="","",'calcul des chants'!$C$4)</f>
        <v/>
      </c>
      <c r="N55" s="10">
        <f>IF(D55="","",'calcul des chants'!$Z$4)</f>
        <v/>
      </c>
      <c r="O55" s="10">
        <f>IF(E55="","",'calcul des chants'!J104)</f>
        <v/>
      </c>
      <c r="P55" s="10">
        <f>IF(F55="","",'calcul des chants'!M104)</f>
        <v/>
      </c>
      <c r="Q55" s="10">
        <f>IF(G55="","",'calcul des chants'!P104)</f>
        <v/>
      </c>
      <c r="R55" s="16" t="n"/>
    </row>
    <row r="56">
      <c r="B56" s="15">
        <f>IF(D56="","",'calcul des chants'!A92)</f>
        <v/>
      </c>
      <c r="C56" s="12">
        <f>IF('calcul des chants'!B105&lt;&gt;"",'calcul des chants'!$A$10,"")</f>
        <v/>
      </c>
      <c r="D56" s="10">
        <f>IF(C56="","",'calcul des chants'!B105)</f>
        <v/>
      </c>
      <c r="E56" s="10">
        <f>IF(D56="","",'calcul des chants'!C105)</f>
        <v/>
      </c>
      <c r="F56" s="10">
        <f>IF(E56="","",'calcul des chants'!D105)</f>
        <v/>
      </c>
      <c r="G56" s="10" t="n"/>
      <c r="H56" s="10">
        <f>IF('calcul des chants'!E105=Optimisateur!$T$3,Optimisateur!$U$3,"")</f>
        <v/>
      </c>
      <c r="I56" s="14">
        <f>IF('calcul des chants'!F105=Optimisateur!$T$3,Optimisateur!$U$3,"")</f>
        <v/>
      </c>
      <c r="J56" s="10">
        <f>IF('calcul des chants'!G105=Optimisateur!$T$3,Optimisateur!$U$3,"")</f>
        <v/>
      </c>
      <c r="K56" s="10">
        <f>IF('calcul des chants'!H105=Optimisateur!$T$3,Optimisateur!$U$3,"")</f>
        <v/>
      </c>
      <c r="L56" s="13" t="n"/>
      <c r="M56" s="10">
        <f>IF(C56="","",'calcul des chants'!$C$4)</f>
        <v/>
      </c>
      <c r="N56" s="10">
        <f>IF(D56="","",'calcul des chants'!$Z$4)</f>
        <v/>
      </c>
      <c r="O56" s="10">
        <f>IF(E56="","",'calcul des chants'!J105)</f>
        <v/>
      </c>
      <c r="P56" s="10">
        <f>IF(F56="","",'calcul des chants'!M105)</f>
        <v/>
      </c>
      <c r="Q56" s="10">
        <f>IF(G56="","",'calcul des chants'!P105)</f>
        <v/>
      </c>
      <c r="R56" s="16" t="n"/>
    </row>
    <row r="57">
      <c r="B57" s="15">
        <f>IF(D57="","",'calcul des chants'!A93)</f>
        <v/>
      </c>
      <c r="C57" s="12">
        <f>IF('calcul des chants'!B106&lt;&gt;"",'calcul des chants'!$A$10,"")</f>
        <v/>
      </c>
      <c r="D57" s="10">
        <f>IF(C57="","",'calcul des chants'!B106)</f>
        <v/>
      </c>
      <c r="E57" s="10">
        <f>IF(D57="","",'calcul des chants'!C106)</f>
        <v/>
      </c>
      <c r="F57" s="10">
        <f>IF(E57="","",'calcul des chants'!D106)</f>
        <v/>
      </c>
      <c r="G57" s="10" t="n"/>
      <c r="H57" s="10">
        <f>IF('calcul des chants'!E106=Optimisateur!$T$3,Optimisateur!$U$3,"")</f>
        <v/>
      </c>
      <c r="I57" s="14">
        <f>IF('calcul des chants'!F106=Optimisateur!$T$3,Optimisateur!$U$3,"")</f>
        <v/>
      </c>
      <c r="J57" s="10">
        <f>IF('calcul des chants'!G106=Optimisateur!$T$3,Optimisateur!$U$3,"")</f>
        <v/>
      </c>
      <c r="K57" s="10">
        <f>IF('calcul des chants'!H106=Optimisateur!$T$3,Optimisateur!$U$3,"")</f>
        <v/>
      </c>
      <c r="L57" s="13" t="n"/>
      <c r="M57" s="10">
        <f>IF(C57="","",'calcul des chants'!$C$4)</f>
        <v/>
      </c>
      <c r="N57" s="10">
        <f>IF(D57="","",'calcul des chants'!$Z$4)</f>
        <v/>
      </c>
      <c r="O57" s="10">
        <f>IF(E57="","",'calcul des chants'!J106)</f>
        <v/>
      </c>
      <c r="P57" s="10">
        <f>IF(F57="","",'calcul des chants'!M106)</f>
        <v/>
      </c>
      <c r="Q57" s="10">
        <f>IF(G57="","",'calcul des chants'!P106)</f>
        <v/>
      </c>
      <c r="R57" s="16" t="n"/>
    </row>
    <row r="58">
      <c r="B58" s="15">
        <f>IF(D58="","",'calcul des chants'!A94)</f>
        <v/>
      </c>
      <c r="C58" s="12">
        <f>IF('calcul des chants'!B107&lt;&gt;"",'calcul des chants'!$A$10,"")</f>
        <v/>
      </c>
      <c r="D58" s="10">
        <f>IF(C58="","",'calcul des chants'!B107)</f>
        <v/>
      </c>
      <c r="E58" s="10">
        <f>IF(D58="","",'calcul des chants'!C107)</f>
        <v/>
      </c>
      <c r="F58" s="10">
        <f>IF(E58="","",'calcul des chants'!D107)</f>
        <v/>
      </c>
      <c r="G58" s="10" t="n"/>
      <c r="H58" s="10">
        <f>IF('calcul des chants'!E107=Optimisateur!$T$3,Optimisateur!$U$3,"")</f>
        <v/>
      </c>
      <c r="I58" s="14">
        <f>IF('calcul des chants'!F107=Optimisateur!$T$3,Optimisateur!$U$3,"")</f>
        <v/>
      </c>
      <c r="J58" s="10">
        <f>IF('calcul des chants'!G107=Optimisateur!$T$3,Optimisateur!$U$3,"")</f>
        <v/>
      </c>
      <c r="K58" s="10">
        <f>IF('calcul des chants'!H107=Optimisateur!$T$3,Optimisateur!$U$3,"")</f>
        <v/>
      </c>
      <c r="L58" s="13" t="n"/>
      <c r="M58" s="10">
        <f>IF(C58="","",'calcul des chants'!$C$4)</f>
        <v/>
      </c>
      <c r="N58" s="10">
        <f>IF(D58="","",'calcul des chants'!$Z$4)</f>
        <v/>
      </c>
      <c r="O58" s="10">
        <f>IF(E58="","",'calcul des chants'!J107)</f>
        <v/>
      </c>
      <c r="P58" s="10">
        <f>IF(F58="","",'calcul des chants'!M107)</f>
        <v/>
      </c>
      <c r="Q58" s="10">
        <f>IF(G58="","",'calcul des chants'!P107)</f>
        <v/>
      </c>
      <c r="R58" s="16" t="n"/>
    </row>
    <row r="59">
      <c r="B59" s="15">
        <f>IF(D59="","",'calcul des chants'!A95)</f>
        <v/>
      </c>
      <c r="C59" s="12">
        <f>IF('calcul des chants'!B108&lt;&gt;"",'calcul des chants'!$A$10,"")</f>
        <v/>
      </c>
      <c r="D59" s="10">
        <f>IF(C59="","",'calcul des chants'!B108)</f>
        <v/>
      </c>
      <c r="E59" s="10">
        <f>IF(D59="","",'calcul des chants'!C108)</f>
        <v/>
      </c>
      <c r="F59" s="10">
        <f>IF(E59="","",'calcul des chants'!D108)</f>
        <v/>
      </c>
      <c r="G59" s="10" t="n"/>
      <c r="H59" s="10">
        <f>IF('calcul des chants'!E108=Optimisateur!$T$3,Optimisateur!$U$3,"")</f>
        <v/>
      </c>
      <c r="I59" s="14">
        <f>IF('calcul des chants'!F108=Optimisateur!$T$3,Optimisateur!$U$3,"")</f>
        <v/>
      </c>
      <c r="J59" s="10">
        <f>IF('calcul des chants'!G108=Optimisateur!$T$3,Optimisateur!$U$3,"")</f>
        <v/>
      </c>
      <c r="K59" s="10">
        <f>IF('calcul des chants'!H108=Optimisateur!$T$3,Optimisateur!$U$3,"")</f>
        <v/>
      </c>
      <c r="L59" s="13" t="n"/>
      <c r="M59" s="10">
        <f>IF(C59="","",'calcul des chants'!$C$4)</f>
        <v/>
      </c>
      <c r="N59" s="10">
        <f>IF(D59="","",'calcul des chants'!$Z$4)</f>
        <v/>
      </c>
      <c r="O59" s="10">
        <f>IF(E59="","",'calcul des chants'!J108)</f>
        <v/>
      </c>
      <c r="P59" s="10">
        <f>IF(F59="","",'calcul des chants'!M108)</f>
        <v/>
      </c>
      <c r="Q59" s="10">
        <f>IF(G59="","",'calcul des chants'!P108)</f>
        <v/>
      </c>
      <c r="R59" s="16" t="n"/>
    </row>
    <row r="60">
      <c r="B60" s="15">
        <f>IF(D60="","",'calcul des chants'!A96)</f>
        <v/>
      </c>
      <c r="C60" s="12">
        <f>IF('calcul des chants'!B109&lt;&gt;"",'calcul des chants'!$A$10,"")</f>
        <v/>
      </c>
      <c r="D60" s="10">
        <f>IF(C60="","",'calcul des chants'!B109)</f>
        <v/>
      </c>
      <c r="E60" s="10">
        <f>IF(D60="","",'calcul des chants'!C109)</f>
        <v/>
      </c>
      <c r="F60" s="10">
        <f>IF(E60="","",'calcul des chants'!D109)</f>
        <v/>
      </c>
      <c r="G60" s="10" t="n"/>
      <c r="H60" s="10">
        <f>IF('calcul des chants'!E109=Optimisateur!$T$3,Optimisateur!$U$3,"")</f>
        <v/>
      </c>
      <c r="I60" s="14">
        <f>IF('calcul des chants'!F109=Optimisateur!$T$3,Optimisateur!$U$3,"")</f>
        <v/>
      </c>
      <c r="J60" s="10">
        <f>IF('calcul des chants'!G109=Optimisateur!$T$3,Optimisateur!$U$3,"")</f>
        <v/>
      </c>
      <c r="K60" s="10">
        <f>IF('calcul des chants'!H109=Optimisateur!$T$3,Optimisateur!$U$3,"")</f>
        <v/>
      </c>
      <c r="L60" s="13" t="n"/>
      <c r="M60" s="10">
        <f>IF(C60="","",'calcul des chants'!$C$4)</f>
        <v/>
      </c>
      <c r="N60" s="10">
        <f>IF(D60="","",'calcul des chants'!$Z$4)</f>
        <v/>
      </c>
      <c r="O60" s="10">
        <f>IF(E60="","",'calcul des chants'!J109)</f>
        <v/>
      </c>
      <c r="P60" s="10">
        <f>IF(F60="","",'calcul des chants'!M109)</f>
        <v/>
      </c>
      <c r="Q60" s="10">
        <f>IF(G60="","",'calcul des chants'!P109)</f>
        <v/>
      </c>
      <c r="R60" s="16" t="n"/>
    </row>
    <row r="61">
      <c r="B61" s="15">
        <f>IF(D61="","",'calcul des chants'!A97)</f>
        <v/>
      </c>
      <c r="C61" s="12">
        <f>IF('calcul des chants'!B110&lt;&gt;"",'calcul des chants'!$A$10,"")</f>
        <v/>
      </c>
      <c r="D61" s="10">
        <f>IF(C61="","",'calcul des chants'!B110)</f>
        <v/>
      </c>
      <c r="E61" s="10">
        <f>IF(D61="","",'calcul des chants'!C110)</f>
        <v/>
      </c>
      <c r="F61" s="10">
        <f>IF(E61="","",'calcul des chants'!D110)</f>
        <v/>
      </c>
      <c r="G61" s="10" t="n"/>
      <c r="H61" s="10">
        <f>IF('calcul des chants'!E110=Optimisateur!$T$3,Optimisateur!$U$3,"")</f>
        <v/>
      </c>
      <c r="I61" s="14">
        <f>IF('calcul des chants'!F110=Optimisateur!$T$3,Optimisateur!$U$3,"")</f>
        <v/>
      </c>
      <c r="J61" s="10">
        <f>IF('calcul des chants'!G110=Optimisateur!$T$3,Optimisateur!$U$3,"")</f>
        <v/>
      </c>
      <c r="K61" s="10">
        <f>IF('calcul des chants'!H110=Optimisateur!$T$3,Optimisateur!$U$3,"")</f>
        <v/>
      </c>
      <c r="L61" s="13" t="n"/>
      <c r="M61" s="10">
        <f>IF(C61="","",'calcul des chants'!$C$4)</f>
        <v/>
      </c>
      <c r="N61" s="10">
        <f>IF(D61="","",'calcul des chants'!$Z$4)</f>
        <v/>
      </c>
      <c r="O61" s="10">
        <f>IF(E61="","",'calcul des chants'!J110)</f>
        <v/>
      </c>
      <c r="P61" s="10">
        <f>IF(F61="","",'calcul des chants'!M110)</f>
        <v/>
      </c>
      <c r="Q61" s="10">
        <f>IF(G61="","",'calcul des chants'!P110)</f>
        <v/>
      </c>
      <c r="R61" s="16" t="n"/>
    </row>
    <row r="62">
      <c r="B62" s="15">
        <f>IF(D62="","",'calcul des chants'!A98)</f>
        <v/>
      </c>
      <c r="C62" s="12">
        <f>IF('calcul des chants'!B111&lt;&gt;"",'calcul des chants'!$A$10,"")</f>
        <v/>
      </c>
      <c r="D62" s="10">
        <f>IF(C62="","",'calcul des chants'!B111)</f>
        <v/>
      </c>
      <c r="E62" s="10">
        <f>IF(D62="","",'calcul des chants'!C111)</f>
        <v/>
      </c>
      <c r="F62" s="10">
        <f>IF(E62="","",'calcul des chants'!D111)</f>
        <v/>
      </c>
      <c r="G62" s="10" t="n"/>
      <c r="H62" s="10">
        <f>IF('calcul des chants'!E111=Optimisateur!$T$3,Optimisateur!$U$3,"")</f>
        <v/>
      </c>
      <c r="I62" s="14">
        <f>IF('calcul des chants'!F111=Optimisateur!$T$3,Optimisateur!$U$3,"")</f>
        <v/>
      </c>
      <c r="J62" s="10">
        <f>IF('calcul des chants'!G111=Optimisateur!$T$3,Optimisateur!$U$3,"")</f>
        <v/>
      </c>
      <c r="K62" s="10">
        <f>IF('calcul des chants'!H111=Optimisateur!$T$3,Optimisateur!$U$3,"")</f>
        <v/>
      </c>
      <c r="L62" s="13" t="n"/>
      <c r="M62" s="10">
        <f>IF(C62="","",'calcul des chants'!$C$4)</f>
        <v/>
      </c>
      <c r="N62" s="10">
        <f>IF(D62="","",'calcul des chants'!$Z$4)</f>
        <v/>
      </c>
      <c r="O62" s="10">
        <f>IF(E62="","",'calcul des chants'!J111)</f>
        <v/>
      </c>
      <c r="P62" s="10">
        <f>IF(F62="","",'calcul des chants'!M111)</f>
        <v/>
      </c>
      <c r="Q62" s="10">
        <f>IF(G62="","",'calcul des chants'!P111)</f>
        <v/>
      </c>
      <c r="R62" s="16" t="n"/>
    </row>
    <row r="63">
      <c r="B63" s="15">
        <f>IF(D63="","",'calcul des chants'!A99)</f>
        <v/>
      </c>
      <c r="C63" s="12">
        <f>IF('calcul des chants'!B112&lt;&gt;"",'calcul des chants'!$A$10,"")</f>
        <v/>
      </c>
      <c r="D63" s="10">
        <f>IF(C63="","",'calcul des chants'!B112)</f>
        <v/>
      </c>
      <c r="E63" s="10">
        <f>IF(D63="","",'calcul des chants'!C112)</f>
        <v/>
      </c>
      <c r="F63" s="10">
        <f>IF(E63="","",'calcul des chants'!D112)</f>
        <v/>
      </c>
      <c r="G63" s="10" t="n"/>
      <c r="H63" s="10">
        <f>IF('calcul des chants'!E112=Optimisateur!$T$3,Optimisateur!$U$3,"")</f>
        <v/>
      </c>
      <c r="I63" s="14">
        <f>IF('calcul des chants'!F112=Optimisateur!$T$3,Optimisateur!$U$3,"")</f>
        <v/>
      </c>
      <c r="J63" s="10">
        <f>IF('calcul des chants'!G112=Optimisateur!$T$3,Optimisateur!$U$3,"")</f>
        <v/>
      </c>
      <c r="K63" s="10">
        <f>IF('calcul des chants'!H112=Optimisateur!$T$3,Optimisateur!$U$3,"")</f>
        <v/>
      </c>
      <c r="L63" s="13" t="n"/>
      <c r="M63" s="10">
        <f>IF(C63="","",'calcul des chants'!$C$4)</f>
        <v/>
      </c>
      <c r="N63" s="10">
        <f>IF(D63="","",'calcul des chants'!$Z$4)</f>
        <v/>
      </c>
      <c r="O63" s="10">
        <f>IF(E63="","",'calcul des chants'!J112)</f>
        <v/>
      </c>
      <c r="P63" s="10">
        <f>IF(F63="","",'calcul des chants'!M112)</f>
        <v/>
      </c>
      <c r="Q63" s="10">
        <f>IF(G63="","",'calcul des chants'!P112)</f>
        <v/>
      </c>
      <c r="R63" s="16" t="n"/>
    </row>
    <row r="64">
      <c r="B64" s="15">
        <f>IF(D64="","",'calcul des chants'!A100)</f>
        <v/>
      </c>
      <c r="C64" s="12">
        <f>IF('calcul des chants'!B113&lt;&gt;"",'calcul des chants'!$A$10,"")</f>
        <v/>
      </c>
      <c r="D64" s="10">
        <f>IF(C64="","",'calcul des chants'!B113)</f>
        <v/>
      </c>
      <c r="E64" s="10">
        <f>IF(D64="","",'calcul des chants'!C113)</f>
        <v/>
      </c>
      <c r="F64" s="10">
        <f>IF(E64="","",'calcul des chants'!D113)</f>
        <v/>
      </c>
      <c r="G64" s="10" t="n"/>
      <c r="H64" s="10">
        <f>IF('calcul des chants'!E113=Optimisateur!$T$3,Optimisateur!$U$3,"")</f>
        <v/>
      </c>
      <c r="I64" s="14">
        <f>IF('calcul des chants'!F113=Optimisateur!$T$3,Optimisateur!$U$3,"")</f>
        <v/>
      </c>
      <c r="J64" s="10">
        <f>IF('calcul des chants'!G113=Optimisateur!$T$3,Optimisateur!$U$3,"")</f>
        <v/>
      </c>
      <c r="K64" s="10">
        <f>IF('calcul des chants'!H113=Optimisateur!$T$3,Optimisateur!$U$3,"")</f>
        <v/>
      </c>
      <c r="L64" s="13" t="n"/>
      <c r="M64" s="10">
        <f>IF(C64="","",'calcul des chants'!$C$4)</f>
        <v/>
      </c>
      <c r="N64" s="10">
        <f>IF(D64="","",'calcul des chants'!$Z$4)</f>
        <v/>
      </c>
      <c r="O64" s="10">
        <f>IF(E64="","",'calcul des chants'!J113)</f>
        <v/>
      </c>
      <c r="P64" s="10">
        <f>IF(F64="","",'calcul des chants'!M113)</f>
        <v/>
      </c>
      <c r="Q64" s="10">
        <f>IF(G64="","",'calcul des chants'!P113)</f>
        <v/>
      </c>
      <c r="R64" s="16" t="n"/>
    </row>
    <row r="65">
      <c r="B65" s="15">
        <f>IF(D65="","",'calcul des chants'!A101)</f>
        <v/>
      </c>
      <c r="C65" s="12">
        <f>IF('calcul des chants'!B114&lt;&gt;"",'calcul des chants'!$A$10,"")</f>
        <v/>
      </c>
      <c r="D65" s="10">
        <f>IF(C65="","",'calcul des chants'!B114)</f>
        <v/>
      </c>
      <c r="E65" s="10">
        <f>IF(D65="","",'calcul des chants'!C114)</f>
        <v/>
      </c>
      <c r="F65" s="10">
        <f>IF(E65="","",'calcul des chants'!D114)</f>
        <v/>
      </c>
      <c r="G65" s="10" t="n"/>
      <c r="H65" s="10">
        <f>IF('calcul des chants'!E114=Optimisateur!$T$3,Optimisateur!$U$3,"")</f>
        <v/>
      </c>
      <c r="I65" s="14">
        <f>IF('calcul des chants'!F114=Optimisateur!$T$3,Optimisateur!$U$3,"")</f>
        <v/>
      </c>
      <c r="J65" s="10">
        <f>IF('calcul des chants'!G114=Optimisateur!$T$3,Optimisateur!$U$3,"")</f>
        <v/>
      </c>
      <c r="K65" s="10">
        <f>IF('calcul des chants'!H114=Optimisateur!$T$3,Optimisateur!$U$3,"")</f>
        <v/>
      </c>
      <c r="L65" s="13" t="n"/>
      <c r="M65" s="10">
        <f>IF(C65="","",'calcul des chants'!$C$4)</f>
        <v/>
      </c>
      <c r="N65" s="10">
        <f>IF(D65="","",'calcul des chants'!$Z$4)</f>
        <v/>
      </c>
      <c r="O65" s="10">
        <f>IF(E65="","",'calcul des chants'!J114)</f>
        <v/>
      </c>
      <c r="P65" s="10">
        <f>IF(F65="","",'calcul des chants'!M114)</f>
        <v/>
      </c>
      <c r="Q65" s="10">
        <f>IF(G65="","",'calcul des chants'!P114)</f>
        <v/>
      </c>
      <c r="R65" s="16" t="n"/>
    </row>
    <row r="66">
      <c r="B66" s="15">
        <f>IF(D66="","",'calcul des chants'!A102)</f>
        <v/>
      </c>
      <c r="C66" s="12">
        <f>IF('calcul des chants'!B115&lt;&gt;"",'calcul des chants'!$A$10,"")</f>
        <v/>
      </c>
      <c r="D66" s="10">
        <f>IF(C66="","",'calcul des chants'!B115)</f>
        <v/>
      </c>
      <c r="E66" s="10">
        <f>IF(D66="","",'calcul des chants'!C115)</f>
        <v/>
      </c>
      <c r="F66" s="10">
        <f>IF(E66="","",'calcul des chants'!D115)</f>
        <v/>
      </c>
      <c r="G66" s="10" t="n"/>
      <c r="H66" s="10">
        <f>IF('calcul des chants'!E115=Optimisateur!$T$3,Optimisateur!$U$3,"")</f>
        <v/>
      </c>
      <c r="I66" s="14">
        <f>IF('calcul des chants'!F115=Optimisateur!$T$3,Optimisateur!$U$3,"")</f>
        <v/>
      </c>
      <c r="J66" s="10">
        <f>IF('calcul des chants'!G115=Optimisateur!$T$3,Optimisateur!$U$3,"")</f>
        <v/>
      </c>
      <c r="K66" s="10">
        <f>IF('calcul des chants'!H115=Optimisateur!$T$3,Optimisateur!$U$3,"")</f>
        <v/>
      </c>
      <c r="L66" s="13" t="n"/>
      <c r="M66" s="10">
        <f>IF(C66="","",'calcul des chants'!$C$4)</f>
        <v/>
      </c>
      <c r="N66" s="10">
        <f>IF(D66="","",'calcul des chants'!$Z$4)</f>
        <v/>
      </c>
      <c r="O66" s="10">
        <f>IF(E66="","",'calcul des chants'!J115)</f>
        <v/>
      </c>
      <c r="P66" s="10">
        <f>IF(F66="","",'calcul des chants'!M115)</f>
        <v/>
      </c>
      <c r="Q66" s="10">
        <f>IF(G66="","",'calcul des chants'!P115)</f>
        <v/>
      </c>
      <c r="R66" s="16" t="n"/>
    </row>
    <row r="67">
      <c r="B67" s="15">
        <f>IF(D67="","",'calcul des chants'!A103)</f>
        <v/>
      </c>
      <c r="C67" s="12">
        <f>IF('calcul des chants'!B116&lt;&gt;"",'calcul des chants'!$A$10,"")</f>
        <v/>
      </c>
      <c r="D67" s="10">
        <f>IF(C67="","",'calcul des chants'!B116)</f>
        <v/>
      </c>
      <c r="E67" s="10">
        <f>IF(D67="","",'calcul des chants'!C116)</f>
        <v/>
      </c>
      <c r="F67" s="10">
        <f>IF(E67="","",'calcul des chants'!D116)</f>
        <v/>
      </c>
      <c r="G67" s="10" t="n"/>
      <c r="H67" s="10">
        <f>IF('calcul des chants'!E116=Optimisateur!$T$3,Optimisateur!$U$3,"")</f>
        <v/>
      </c>
      <c r="I67" s="14">
        <f>IF('calcul des chants'!F116=Optimisateur!$T$3,Optimisateur!$U$3,"")</f>
        <v/>
      </c>
      <c r="J67" s="10">
        <f>IF('calcul des chants'!G116=Optimisateur!$T$3,Optimisateur!$U$3,"")</f>
        <v/>
      </c>
      <c r="K67" s="10">
        <f>IF('calcul des chants'!H116=Optimisateur!$T$3,Optimisateur!$U$3,"")</f>
        <v/>
      </c>
      <c r="L67" s="13" t="n"/>
      <c r="M67" s="10">
        <f>IF(C67="","",'calcul des chants'!$C$4)</f>
        <v/>
      </c>
      <c r="N67" s="10">
        <f>IF(D67="","",'calcul des chants'!$Z$4)</f>
        <v/>
      </c>
      <c r="O67" s="10">
        <f>IF(E67="","",'calcul des chants'!J116)</f>
        <v/>
      </c>
      <c r="P67" s="10">
        <f>IF(F67="","",'calcul des chants'!M116)</f>
        <v/>
      </c>
      <c r="Q67" s="10">
        <f>IF(G67="","",'calcul des chants'!P116)</f>
        <v/>
      </c>
      <c r="R67" s="16" t="n"/>
    </row>
    <row r="68">
      <c r="B68" s="15">
        <f>IF(D68="","",'calcul des chants'!A104)</f>
        <v/>
      </c>
      <c r="C68" s="12">
        <f>IF('calcul des chants'!B117&lt;&gt;"",'calcul des chants'!$A$10,"")</f>
        <v/>
      </c>
      <c r="D68" s="10">
        <f>IF(C68="","",'calcul des chants'!B117)</f>
        <v/>
      </c>
      <c r="E68" s="10">
        <f>IF(D68="","",'calcul des chants'!C117)</f>
        <v/>
      </c>
      <c r="F68" s="10">
        <f>IF(E68="","",'calcul des chants'!D117)</f>
        <v/>
      </c>
      <c r="G68" s="10" t="n"/>
      <c r="H68" s="10">
        <f>IF('calcul des chants'!E117=Optimisateur!$T$3,Optimisateur!$U$3,"")</f>
        <v/>
      </c>
      <c r="I68" s="14">
        <f>IF('calcul des chants'!F117=Optimisateur!$T$3,Optimisateur!$U$3,"")</f>
        <v/>
      </c>
      <c r="J68" s="10">
        <f>IF('calcul des chants'!G117=Optimisateur!$T$3,Optimisateur!$U$3,"")</f>
        <v/>
      </c>
      <c r="K68" s="10">
        <f>IF('calcul des chants'!H117=Optimisateur!$T$3,Optimisateur!$U$3,"")</f>
        <v/>
      </c>
      <c r="L68" s="13" t="n"/>
      <c r="M68" s="10">
        <f>IF(C68="","",'calcul des chants'!$C$4)</f>
        <v/>
      </c>
      <c r="N68" s="10">
        <f>IF(D68="","",'calcul des chants'!$Z$4)</f>
        <v/>
      </c>
      <c r="O68" s="10">
        <f>IF(E68="","",'calcul des chants'!J117)</f>
        <v/>
      </c>
      <c r="P68" s="10">
        <f>IF(F68="","",'calcul des chants'!M117)</f>
        <v/>
      </c>
      <c r="Q68" s="10">
        <f>IF(G68="","",'calcul des chants'!P117)</f>
        <v/>
      </c>
      <c r="R68" s="16" t="n"/>
    </row>
    <row r="69">
      <c r="B69" s="15">
        <f>IF(D69="","",'calcul des chants'!A105)</f>
        <v/>
      </c>
      <c r="C69" s="12">
        <f>IF('calcul des chants'!B118&lt;&gt;"",'calcul des chants'!$A$10,"")</f>
        <v/>
      </c>
      <c r="D69" s="10">
        <f>IF(C69="","",'calcul des chants'!B118)</f>
        <v/>
      </c>
      <c r="E69" s="10">
        <f>IF(D69="","",'calcul des chants'!C118)</f>
        <v/>
      </c>
      <c r="F69" s="10">
        <f>IF(E69="","",'calcul des chants'!D118)</f>
        <v/>
      </c>
      <c r="G69" s="10" t="n"/>
      <c r="H69" s="10">
        <f>IF('calcul des chants'!E118=Optimisateur!$T$3,Optimisateur!$U$3,"")</f>
        <v/>
      </c>
      <c r="I69" s="14">
        <f>IF('calcul des chants'!F118=Optimisateur!$T$3,Optimisateur!$U$3,"")</f>
        <v/>
      </c>
      <c r="J69" s="10">
        <f>IF('calcul des chants'!G118=Optimisateur!$T$3,Optimisateur!$U$3,"")</f>
        <v/>
      </c>
      <c r="K69" s="10">
        <f>IF('calcul des chants'!H118=Optimisateur!$T$3,Optimisateur!$U$3,"")</f>
        <v/>
      </c>
      <c r="L69" s="13" t="n"/>
      <c r="M69" s="10">
        <f>IF(C69="","",'calcul des chants'!$C$4)</f>
        <v/>
      </c>
      <c r="N69" s="10">
        <f>IF(D69="","",'calcul des chants'!$Z$4)</f>
        <v/>
      </c>
      <c r="O69" s="10">
        <f>IF(E69="","",'calcul des chants'!J118)</f>
        <v/>
      </c>
      <c r="P69" s="10">
        <f>IF(F69="","",'calcul des chants'!M118)</f>
        <v/>
      </c>
      <c r="Q69" s="10">
        <f>IF(G69="","",'calcul des chants'!P118)</f>
        <v/>
      </c>
      <c r="R69" s="16" t="n"/>
    </row>
    <row r="70">
      <c r="B70" s="15">
        <f>IF(D70="","",'calcul des chants'!A106)</f>
        <v/>
      </c>
      <c r="C70" s="12">
        <f>IF('calcul des chants'!B119&lt;&gt;"",'calcul des chants'!$A$10,"")</f>
        <v/>
      </c>
      <c r="D70" s="10">
        <f>IF(C70="","",'calcul des chants'!B119)</f>
        <v/>
      </c>
      <c r="E70" s="10">
        <f>IF(D70="","",'calcul des chants'!C119)</f>
        <v/>
      </c>
      <c r="F70" s="10">
        <f>IF(E70="","",'calcul des chants'!D119)</f>
        <v/>
      </c>
      <c r="G70" s="10" t="n"/>
      <c r="H70" s="10">
        <f>IF('calcul des chants'!E119=Optimisateur!$T$3,Optimisateur!$U$3,"")</f>
        <v/>
      </c>
      <c r="I70" s="14">
        <f>IF('calcul des chants'!F119=Optimisateur!$T$3,Optimisateur!$U$3,"")</f>
        <v/>
      </c>
      <c r="J70" s="10">
        <f>IF('calcul des chants'!G119=Optimisateur!$T$3,Optimisateur!$U$3,"")</f>
        <v/>
      </c>
      <c r="K70" s="10">
        <f>IF('calcul des chants'!H119=Optimisateur!$T$3,Optimisateur!$U$3,"")</f>
        <v/>
      </c>
      <c r="L70" s="13" t="n"/>
      <c r="M70" s="10">
        <f>IF(C70="","",'calcul des chants'!$C$4)</f>
        <v/>
      </c>
      <c r="N70" s="10">
        <f>IF(D70="","",'calcul des chants'!$Z$4)</f>
        <v/>
      </c>
      <c r="O70" s="10">
        <f>IF(E70="","",'calcul des chants'!J119)</f>
        <v/>
      </c>
      <c r="P70" s="10">
        <f>IF(F70="","",'calcul des chants'!M119)</f>
        <v/>
      </c>
      <c r="Q70" s="10">
        <f>IF(G70="","",'calcul des chants'!P119)</f>
        <v/>
      </c>
      <c r="R70" s="16" t="n"/>
    </row>
    <row r="71" ht="15.75" customHeight="1" thickBot="1">
      <c r="B71" s="24">
        <f>IF(D71="","",'calcul des chants'!A107)</f>
        <v/>
      </c>
      <c r="C71" s="23">
        <f>IF('calcul des chants'!B120&lt;&gt;"",'calcul des chants'!$A$10,"")</f>
        <v/>
      </c>
      <c r="D71" s="1">
        <f>IF(C71="","",'calcul des chants'!B120)</f>
        <v/>
      </c>
      <c r="E71" s="1">
        <f>IF(D71="","",'calcul des chants'!C120)</f>
        <v/>
      </c>
      <c r="F71" s="1">
        <f>IF(E71="","",'calcul des chants'!D120)</f>
        <v/>
      </c>
      <c r="G71" s="1" t="n"/>
      <c r="H71" s="1">
        <f>IF('calcul des chants'!E120=Optimisateur!$T$3,Optimisateur!$U$3,"")</f>
        <v/>
      </c>
      <c r="I71" s="25">
        <f>IF('calcul des chants'!F120=Optimisateur!$T$3,Optimisateur!$U$3,"")</f>
        <v/>
      </c>
      <c r="J71" s="1">
        <f>IF('calcul des chants'!G120=Optimisateur!$T$3,Optimisateur!$U$3,"")</f>
        <v/>
      </c>
      <c r="K71" s="1">
        <f>IF('calcul des chants'!H120=Optimisateur!$T$3,Optimisateur!$U$3,"")</f>
        <v/>
      </c>
      <c r="L71" s="26" t="n"/>
      <c r="M71" s="1">
        <f>IF(C71="","",'calcul des chants'!$C$4)</f>
        <v/>
      </c>
      <c r="N71" s="1">
        <f>IF(D71="","",'calcul des chants'!$Z$4)</f>
        <v/>
      </c>
      <c r="O71" s="1">
        <f>IF(E71="","",'calcul des chants'!J120)</f>
        <v/>
      </c>
      <c r="P71" s="1">
        <f>IF(F71="","",'calcul des chants'!M120)</f>
        <v/>
      </c>
      <c r="Q71" s="1">
        <f>IF(G71="","",'calcul des chants'!P120)</f>
        <v/>
      </c>
      <c r="R71" s="2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n2o4TpNWfVFTXllYf6qTFA==" formatRows="1" sort="1" spinCount="100000" hashValue="GmWuy39WTULCcDaDY/uaURbsJ9vKlBG9/DCf/NN6rxMLop/sMP/iHVzGsT6oFic0ZTtKMx5L/k0RPkOpGfEO0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romain.chantelard</dc:creator>
  <dcterms:created xmlns:dcterms="http://purl.org/dc/terms/" xmlns:xsi="http://www.w3.org/2001/XMLSchema-instance" xsi:type="dcterms:W3CDTF">2013-07-11T14:08:42Z</dcterms:created>
  <dcterms:modified xmlns:dcterms="http://purl.org/dc/terms/" xmlns:xsi="http://www.w3.org/2001/XMLSchema-instance" xsi:type="dcterms:W3CDTF">2026-05-11T11:33:33Z</dcterms:modified>
  <cp:lastModifiedBy>STATION5EGB@LABABOIS.LOCAL</cp:lastModifiedBy>
  <cp:lastPrinted>2023-02-08T06:16:20Z</cp:lastPrinted>
</cp:coreProperties>
</file>